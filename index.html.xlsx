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P ACHV\"/>
    </mc:Choice>
  </mc:AlternateContent>
  <xr:revisionPtr revIDLastSave="0" documentId="13_ncr:1_{ED10570B-0E71-437C-AD4E-BF0ABEE4A5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3" sheetId="8" r:id="rId1"/>
    <sheet name="Sheet1" sheetId="1" r:id="rId2"/>
  </sheets>
  <externalReferences>
    <externalReference r:id="rId3"/>
    <externalReference r:id="rId4"/>
  </externalReferences>
  <definedNames>
    <definedName name="_xlnm._FilterDatabase" localSheetId="1" hidden="1">Sheet1!#REF!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8" l="1"/>
  <c r="I29" i="8"/>
  <c r="V36" i="8"/>
  <c r="V34" i="8"/>
  <c r="T41" i="8"/>
  <c r="J35" i="8"/>
  <c r="J36" i="8"/>
  <c r="J37" i="8"/>
  <c r="J38" i="8"/>
  <c r="J39" i="8"/>
  <c r="J40" i="8"/>
  <c r="J34" i="8"/>
  <c r="I35" i="8"/>
  <c r="I36" i="8"/>
  <c r="I37" i="8"/>
  <c r="I38" i="8"/>
  <c r="I39" i="8"/>
  <c r="I40" i="8"/>
  <c r="I34" i="8"/>
  <c r="M417" i="1"/>
  <c r="K19" i="8"/>
  <c r="J19" i="8"/>
  <c r="V28" i="8"/>
  <c r="V24" i="8"/>
  <c r="T29" i="8"/>
  <c r="L36" i="8"/>
  <c r="L25" i="8"/>
  <c r="M14" i="8"/>
  <c r="M6" i="8"/>
  <c r="U27" i="8"/>
  <c r="L39" i="8"/>
  <c r="L35" i="8"/>
  <c r="K38" i="8"/>
  <c r="K34" i="8"/>
  <c r="U39" i="8"/>
  <c r="M18" i="8"/>
  <c r="M10" i="8"/>
  <c r="U26" i="8"/>
  <c r="L38" i="8"/>
  <c r="L34" i="8"/>
  <c r="K37" i="8"/>
  <c r="L28" i="8"/>
  <c r="L24" i="8"/>
  <c r="U38" i="8"/>
  <c r="M17" i="8"/>
  <c r="M13" i="8"/>
  <c r="M9" i="8"/>
  <c r="L18" i="8"/>
  <c r="U25" i="8"/>
  <c r="L37" i="8"/>
  <c r="K40" i="8"/>
  <c r="K36" i="8"/>
  <c r="L27" i="8"/>
  <c r="V6" i="8"/>
  <c r="U37" i="8"/>
  <c r="M16" i="8"/>
  <c r="M12" i="8"/>
  <c r="M8" i="8"/>
  <c r="L14" i="8"/>
  <c r="L40" i="8"/>
  <c r="K39" i="8"/>
  <c r="K35" i="8"/>
  <c r="L26" i="8"/>
  <c r="U40" i="8"/>
  <c r="U35" i="8"/>
  <c r="M15" i="8"/>
  <c r="M11" i="8"/>
  <c r="M7" i="8"/>
  <c r="K24" i="8"/>
  <c r="I41" i="8" l="1"/>
  <c r="J41" i="8"/>
  <c r="V27" i="8"/>
  <c r="V26" i="8"/>
  <c r="V25" i="8"/>
  <c r="U29" i="8"/>
  <c r="K41" i="8"/>
  <c r="L41" i="8"/>
  <c r="N40" i="8"/>
  <c r="P40" i="8" s="1"/>
  <c r="N39" i="8"/>
  <c r="P39" i="8" s="1"/>
  <c r="N38" i="8"/>
  <c r="P38" i="8" s="1"/>
  <c r="N37" i="8"/>
  <c r="P37" i="8" s="1"/>
  <c r="N36" i="8"/>
  <c r="P36" i="8" s="1"/>
  <c r="N35" i="8"/>
  <c r="P35" i="8" s="1"/>
  <c r="N34" i="8"/>
  <c r="M40" i="8"/>
  <c r="O40" i="8" s="1"/>
  <c r="M39" i="8"/>
  <c r="O39" i="8" s="1"/>
  <c r="M38" i="8"/>
  <c r="O38" i="8" s="1"/>
  <c r="M37" i="8"/>
  <c r="O37" i="8" s="1"/>
  <c r="M36" i="8"/>
  <c r="O36" i="8" s="1"/>
  <c r="M35" i="8"/>
  <c r="O35" i="8" s="1"/>
  <c r="M34" i="8"/>
  <c r="L29" i="8"/>
  <c r="U41" i="8"/>
  <c r="V35" i="8"/>
  <c r="V37" i="8"/>
  <c r="V38" i="8"/>
  <c r="V39" i="8"/>
  <c r="V40" i="8"/>
  <c r="M19" i="8"/>
  <c r="M24" i="8"/>
  <c r="N24" i="8"/>
  <c r="N25" i="8"/>
  <c r="P25" i="8" s="1"/>
  <c r="N26" i="8"/>
  <c r="P26" i="8" s="1"/>
  <c r="N27" i="8"/>
  <c r="P27" i="8" s="1"/>
  <c r="N28" i="8"/>
  <c r="P28" i="8" s="1"/>
  <c r="U19" i="8"/>
  <c r="W14" i="8"/>
  <c r="W18" i="8"/>
  <c r="V13" i="8"/>
  <c r="K26" i="8"/>
  <c r="V16" i="8"/>
  <c r="V15" i="8"/>
  <c r="V7" i="8"/>
  <c r="V17" i="8"/>
  <c r="K25" i="8"/>
  <c r="V10" i="8"/>
  <c r="K27" i="8"/>
  <c r="V12" i="8"/>
  <c r="V8" i="8"/>
  <c r="V11" i="8"/>
  <c r="K28" i="8"/>
  <c r="V9" i="8"/>
  <c r="N41" i="8" l="1"/>
  <c r="M41" i="8"/>
  <c r="V29" i="8"/>
  <c r="V19" i="8"/>
  <c r="K29" i="8"/>
  <c r="P34" i="8"/>
  <c r="P41" i="8" s="1"/>
  <c r="O34" i="8"/>
  <c r="O41" i="8" s="1"/>
  <c r="O24" i="8"/>
  <c r="N29" i="8"/>
  <c r="P24" i="8"/>
  <c r="P29" i="8" s="1"/>
  <c r="V41" i="8"/>
  <c r="M25" i="8"/>
  <c r="O25" i="8" s="1"/>
  <c r="M26" i="8"/>
  <c r="O26" i="8" s="1"/>
  <c r="M27" i="8"/>
  <c r="O27" i="8" s="1"/>
  <c r="M28" i="8"/>
  <c r="O28" i="8" s="1"/>
  <c r="W7" i="8"/>
  <c r="W8" i="8"/>
  <c r="W9" i="8"/>
  <c r="W10" i="8"/>
  <c r="W11" i="8"/>
  <c r="W12" i="8"/>
  <c r="W13" i="8"/>
  <c r="W15" i="8"/>
  <c r="W16" i="8"/>
  <c r="W17" i="8"/>
  <c r="W6" i="8"/>
  <c r="O14" i="8"/>
  <c r="Q14" i="8" s="1"/>
  <c r="O18" i="8"/>
  <c r="Q18" i="8" s="1"/>
  <c r="M29" i="8" l="1"/>
  <c r="O29" i="8"/>
  <c r="W19" i="8"/>
  <c r="L13" i="8"/>
  <c r="L6" i="8"/>
  <c r="L9" i="8"/>
  <c r="L8" i="8"/>
  <c r="L11" i="8"/>
  <c r="L17" i="8"/>
  <c r="L16" i="8"/>
  <c r="L7" i="8"/>
  <c r="L12" i="8"/>
  <c r="L15" i="8"/>
  <c r="L10" i="8"/>
  <c r="L19" i="8" l="1"/>
  <c r="O15" i="8"/>
  <c r="Q15" i="8" s="1"/>
  <c r="O7" i="8"/>
  <c r="Q7" i="8" s="1"/>
  <c r="O6" i="8"/>
  <c r="Q6" i="8" s="1"/>
  <c r="O9" i="8"/>
  <c r="Q9" i="8" s="1"/>
  <c r="O11" i="8"/>
  <c r="Q11" i="8" s="1"/>
  <c r="O8" i="8"/>
  <c r="Q8" i="8" s="1"/>
  <c r="O10" i="8"/>
  <c r="Q10" i="8" s="1"/>
  <c r="O13" i="8"/>
  <c r="Q13" i="8" s="1"/>
  <c r="O16" i="8"/>
  <c r="Q16" i="8" s="1"/>
  <c r="O12" i="8"/>
  <c r="Q12" i="8" s="1"/>
  <c r="O17" i="8"/>
  <c r="Q17" i="8" s="1"/>
  <c r="N18" i="8"/>
  <c r="P18" i="8" s="1"/>
  <c r="N17" i="8"/>
  <c r="P17" i="8" s="1"/>
  <c r="N16" i="8"/>
  <c r="P16" i="8" s="1"/>
  <c r="N15" i="8"/>
  <c r="P15" i="8" s="1"/>
  <c r="N14" i="8"/>
  <c r="P14" i="8" s="1"/>
  <c r="N13" i="8"/>
  <c r="P13" i="8" s="1"/>
  <c r="N12" i="8"/>
  <c r="P12" i="8" s="1"/>
  <c r="N10" i="8"/>
  <c r="P10" i="8" s="1"/>
  <c r="N9" i="8"/>
  <c r="P9" i="8" s="1"/>
  <c r="N8" i="8"/>
  <c r="P8" i="8" s="1"/>
  <c r="N7" i="8"/>
  <c r="P7" i="8" s="1"/>
  <c r="N6" i="8"/>
  <c r="P6" i="8" s="1"/>
  <c r="N11" i="8"/>
  <c r="P11" i="8" s="1"/>
  <c r="O19" i="8" l="1"/>
  <c r="P19" i="8"/>
  <c r="N19" i="8"/>
  <c r="Q19" i="8"/>
</calcChain>
</file>

<file path=xl/sharedStrings.xml><?xml version="1.0" encoding="utf-8"?>
<sst xmlns="http://schemas.openxmlformats.org/spreadsheetml/2006/main" count="6136" uniqueCount="2097">
  <si>
    <t>Salesperson</t>
  </si>
  <si>
    <t>Branch</t>
  </si>
  <si>
    <t>Brand</t>
  </si>
  <si>
    <t>Doc. No.</t>
  </si>
  <si>
    <t>Doc. Date</t>
  </si>
  <si>
    <t>Item/Model</t>
  </si>
  <si>
    <t>Sales Qty.</t>
  </si>
  <si>
    <t>Sales Value</t>
  </si>
  <si>
    <t>Manager Landing</t>
  </si>
  <si>
    <t>IMEI NO</t>
  </si>
  <si>
    <t>Profit Amt.</t>
  </si>
  <si>
    <t>1 - CHIRAG PATHAK</t>
  </si>
  <si>
    <t>ASTRON CHOWK</t>
  </si>
  <si>
    <t>INFINIX</t>
  </si>
  <si>
    <t>MT/ACB/44</t>
  </si>
  <si>
    <t>01/04/2026</t>
  </si>
  <si>
    <t>HOT 60 5G (6/128GB) SHADOW BLUE:INFINIX:MOBILE</t>
  </si>
  <si>
    <t>358168450526697</t>
  </si>
  <si>
    <t>NOKIA</t>
  </si>
  <si>
    <t>MT/ACB/58</t>
  </si>
  <si>
    <t>N105(SINGLESIM-TA-1423) CHARCOAL:NOKIA:MOBILE</t>
  </si>
  <si>
    <t>355295347976349</t>
  </si>
  <si>
    <t>ONE PLUS</t>
  </si>
  <si>
    <t>MT/ACB/95</t>
  </si>
  <si>
    <t>02/04/2026</t>
  </si>
  <si>
    <t>NORD 5 (8/256GB) PHANTOM GREY:ONE PLUS:MOBILE</t>
  </si>
  <si>
    <t>869066074631335</t>
  </si>
  <si>
    <t>GONDAL ROAD BRANCH</t>
  </si>
  <si>
    <t>MOTOROLA</t>
  </si>
  <si>
    <t>MT/GDRB/212</t>
  </si>
  <si>
    <t>08/04/2026</t>
  </si>
  <si>
    <t>MOTO G35 (4/128GB) LEAF GREEN:MOTOROLA:MOBILE</t>
  </si>
  <si>
    <t>358557215871838</t>
  </si>
  <si>
    <t>MT/GDRB/266</t>
  </si>
  <si>
    <t>09/04/2026</t>
  </si>
  <si>
    <t>MOTO G57 (8/128GB) PANTONE CORSAIR:MOTOROLA:MOBILE</t>
  </si>
  <si>
    <t>357355576670373</t>
  </si>
  <si>
    <t>MT/GDRB/277</t>
  </si>
  <si>
    <t>MOTO G35 (4/128GB) MIDNIGHT BLACK:MOTOROLA:MOBILE</t>
  </si>
  <si>
    <t>358557214019553</t>
  </si>
  <si>
    <t>MT/GDRB/314</t>
  </si>
  <si>
    <t>10/04/2026</t>
  </si>
  <si>
    <t>MOTO G86 (8/128GB) PANTONE COSMIC SKY:MOTOROLA:MOBILE</t>
  </si>
  <si>
    <t>354510964114458</t>
  </si>
  <si>
    <t>MT/GDRB/323</t>
  </si>
  <si>
    <t>11/04/2026</t>
  </si>
  <si>
    <t>357355576672130</t>
  </si>
  <si>
    <t>MT/GDRB/336</t>
  </si>
  <si>
    <t>MOTO EDGE 70 FUSION (8/256GB) COUNTRY AIR:MOTOROLA:MOBILE</t>
  </si>
  <si>
    <t>357279952196193</t>
  </si>
  <si>
    <t>REALME</t>
  </si>
  <si>
    <t>MT/GDRB/204</t>
  </si>
  <si>
    <t>C83 5G (4/64GB) SPROUTING GREEN:REALME:MOBILE</t>
  </si>
  <si>
    <t>860543080822610</t>
  </si>
  <si>
    <t>MT/GDRB/333</t>
  </si>
  <si>
    <t>860543080813130</t>
  </si>
  <si>
    <t>TECNO</t>
  </si>
  <si>
    <t>MT/GDRB/214</t>
  </si>
  <si>
    <t>SPARK GO 5G (KM8-4/128GB) BLACK:TECNO:MOBILE</t>
  </si>
  <si>
    <t>357683480954140</t>
  </si>
  <si>
    <t>VIVO</t>
  </si>
  <si>
    <t>MT/GDRB/192</t>
  </si>
  <si>
    <t>Y11 5G (4/128GB) SUNRISE GOLD:VIVO:MOBILE</t>
  </si>
  <si>
    <t>864001084354631</t>
  </si>
  <si>
    <t>MT/GDRB/247</t>
  </si>
  <si>
    <t>V70 5G (8/256GB) PASSION RED:VIVO:MOBILE</t>
  </si>
  <si>
    <t>861636080799876</t>
  </si>
  <si>
    <t>MT/GDRB/262</t>
  </si>
  <si>
    <t>Y31 5G (4/128GB) DIAMOND GREEN:VIVO:MOBILE</t>
  </si>
  <si>
    <t>866150081824241</t>
  </si>
  <si>
    <t>MT/GDRB/296</t>
  </si>
  <si>
    <t>X300 5G (12/256GB) SUMMIT RED:VIVO:MOBILE</t>
  </si>
  <si>
    <t>867203082077951</t>
  </si>
  <si>
    <t>MT/GDRB/298</t>
  </si>
  <si>
    <t>Y11 5G (4/64GB) SUNRISE GOLD:VIVO:MOBILE</t>
  </si>
  <si>
    <t>864001083761331</t>
  </si>
  <si>
    <t>MT/GDRB/309</t>
  </si>
  <si>
    <t>V70 FE 5G (12/256GB) MONSOON BLUE:VIVO:MOBILE</t>
  </si>
  <si>
    <t>861130088390995</t>
  </si>
  <si>
    <t>MT/GDRB/310</t>
  </si>
  <si>
    <t>Y51 PRO 5G (8/128GB) NOBLE GOLD:VIVO:MOBILE</t>
  </si>
  <si>
    <t>864155085604111</t>
  </si>
  <si>
    <t>XIAOMI</t>
  </si>
  <si>
    <t>MT/GDRB/251</t>
  </si>
  <si>
    <t>REDMI 15A 5G (4/64GB) AWESOME BLUE:XIAOMI:MOBILE</t>
  </si>
  <si>
    <t>866938083527949</t>
  </si>
  <si>
    <t>1 - VINIT MANDAVIYA</t>
  </si>
  <si>
    <t>APPLE</t>
  </si>
  <si>
    <t>MT/ACB/660</t>
  </si>
  <si>
    <t>IPHONE 15(128GB) BLUE:APPLE:MOBILE</t>
  </si>
  <si>
    <t>357205927186068</t>
  </si>
  <si>
    <t>MT/ACB/740</t>
  </si>
  <si>
    <t>IPHONE 16(128GB) TEAL:APPLE:MOBILE</t>
  </si>
  <si>
    <t>354385327159346</t>
  </si>
  <si>
    <t>MT/ACB/153</t>
  </si>
  <si>
    <t>03/04/2026</t>
  </si>
  <si>
    <t>NOTE EDGE (8/256GB) SILK GREEN:INFINIX:MOBILE</t>
  </si>
  <si>
    <t>357633350511223</t>
  </si>
  <si>
    <t>MT/ACB/104</t>
  </si>
  <si>
    <t>MOTO EDGE 70 FUSION (8/128GB) SILHOUTTE:MOTOROLA:MOBILE</t>
  </si>
  <si>
    <t>353324456559217</t>
  </si>
  <si>
    <t>MT/ACB/105</t>
  </si>
  <si>
    <t>MOTO EDGE 70 FUSION (8/128GB) COUNTRY AIR:MOTOROLA:MOBILE</t>
  </si>
  <si>
    <t>353324456438032</t>
  </si>
  <si>
    <t>MT/ACB/279</t>
  </si>
  <si>
    <t>05/04/2026</t>
  </si>
  <si>
    <t>MOTO G67 POWER (8/128GB) CILANTRO:MOTOROLA:MOBILE</t>
  </si>
  <si>
    <t>356944973841850</t>
  </si>
  <si>
    <t>MT/ACB/328</t>
  </si>
  <si>
    <t>06/04/2026</t>
  </si>
  <si>
    <t>356231213509871</t>
  </si>
  <si>
    <t>MT/ACB/386</t>
  </si>
  <si>
    <t>MOTO EDGE 70 FUSION (12/256GB) COUNTRY AIR:MOTOROLA:MOBILE</t>
  </si>
  <si>
    <t>353324451029851</t>
  </si>
  <si>
    <t>SAMSUNG</t>
  </si>
  <si>
    <t>MT/ACB/14</t>
  </si>
  <si>
    <t>E176BB(F17 5G-6/128GB) NEO BLACK:SAMSUNG:MOBILE</t>
  </si>
  <si>
    <t>352822575322368</t>
  </si>
  <si>
    <t>MT/ACB/3</t>
  </si>
  <si>
    <t>352822576483441</t>
  </si>
  <si>
    <t>MT/ACB/4</t>
  </si>
  <si>
    <t>A376ED(A37 5G-8/128GB) CHARCOAL:SAMSUNG:MOBILE</t>
  </si>
  <si>
    <t>351008510100827</t>
  </si>
  <si>
    <t>MT/ACB/120</t>
  </si>
  <si>
    <t>E176BA(F17 5G-4/128GB) VIOLET POP:SAMSUNG:MOBILE(T.VALUE)</t>
  </si>
  <si>
    <t>350133664577231</t>
  </si>
  <si>
    <t>MT/ACB/129</t>
  </si>
  <si>
    <t>A176NL(A17 5G-6/128GB) W/O TA BLACK:SAMSUNG:MOBILE(T.VALUE)</t>
  </si>
  <si>
    <t>355299983595827</t>
  </si>
  <si>
    <t>MT/ACB/186</t>
  </si>
  <si>
    <t>350133667052356</t>
  </si>
  <si>
    <t>MT/ACB/201</t>
  </si>
  <si>
    <t>A176BN(A17 5G-8/256GB) BLACK:SAMSUNG:MOBILE</t>
  </si>
  <si>
    <t>350037990364620</t>
  </si>
  <si>
    <t>MT/ACB/219</t>
  </si>
  <si>
    <t>04/04/2026</t>
  </si>
  <si>
    <t>350037990384438</t>
  </si>
  <si>
    <t>MT/ACB/237</t>
  </si>
  <si>
    <t>A366EN(A36 5G-12/256GB) AWESOME BLACK:SAMSUNG:MOBILE(T.VALUE)</t>
  </si>
  <si>
    <t>353897853099119</t>
  </si>
  <si>
    <t>MT/ACB/245</t>
  </si>
  <si>
    <t>A075FD(A07 4G-4/64GB) GREEN:SAMSUNG:MOBILE</t>
  </si>
  <si>
    <t>354372910220404</t>
  </si>
  <si>
    <t>MT/ACB/312</t>
  </si>
  <si>
    <t>A176NL(A17 5G-6/128GB) W/O TA GRAY:SAMSUNG:MOBILE(T.VALUE)</t>
  </si>
  <si>
    <t>355963804692895</t>
  </si>
  <si>
    <t>MT/ACB/330</t>
  </si>
  <si>
    <t>A176NM(A17 5G-8/128GB) W/O TA GRAY:SAMSUNG:MOBILE</t>
  </si>
  <si>
    <t>356137748010881</t>
  </si>
  <si>
    <t>MT/ACB/341</t>
  </si>
  <si>
    <t>S948BC(S26 ULTRA-12/512GB) SILVER:SAMSUNG:MOBILE(T.VALUE)</t>
  </si>
  <si>
    <t>352425611054043</t>
  </si>
  <si>
    <t>MT/ACB/353</t>
  </si>
  <si>
    <t>S948BC(S26 ULTRA-12/512GB) COBALT VIOLET:SAMSUNG:MOBILE(T.VALUE)</t>
  </si>
  <si>
    <t>352425610048574</t>
  </si>
  <si>
    <t>MT/ACB/366</t>
  </si>
  <si>
    <t>A076BB(A07 5G-4/128GB) LIGHT GREEN:SAMSUNG:MOBILE</t>
  </si>
  <si>
    <t>359695532606989</t>
  </si>
  <si>
    <t>MT/ACB/385</t>
  </si>
  <si>
    <t>E176BA(F17 5G-4/128GB) NEO BLACK:SAMSUNG:MOBILE</t>
  </si>
  <si>
    <t>350133667037258</t>
  </si>
  <si>
    <t>MT/ACB/426</t>
  </si>
  <si>
    <t>07/04/2026</t>
  </si>
  <si>
    <t>350037990383059</t>
  </si>
  <si>
    <t>MT/ACB/444</t>
  </si>
  <si>
    <t>S938BB(S25 ULTRA-12/256GB) TITANIUM JETBLACK:SAMSUNG:MOBILE</t>
  </si>
  <si>
    <t>352901549312273</t>
  </si>
  <si>
    <t>MT/ACB/455</t>
  </si>
  <si>
    <t>354372910213029</t>
  </si>
  <si>
    <t>MT/ACB/465</t>
  </si>
  <si>
    <t>A176NL(A17 5G-6/128GB) W/O TA BLUE:SAMSUNG:MOBILE</t>
  </si>
  <si>
    <t>355299983628636</t>
  </si>
  <si>
    <t>MT/ACB/497</t>
  </si>
  <si>
    <t>A176BN(A17 5G-8/256GB) BLUE:SAMSUNG:MOBILE</t>
  </si>
  <si>
    <t>350037991459429</t>
  </si>
  <si>
    <t>MT/ACB/511</t>
  </si>
  <si>
    <t>S931BC(S25-12/256GB) ICY BLUE:SAMSUNG:MOBILE</t>
  </si>
  <si>
    <t>358410184701265</t>
  </si>
  <si>
    <t>MT/ACB/560</t>
  </si>
  <si>
    <t>A566EG(A56 5G-8/256GB) AWESOME GRAPHITE:SAMSUNG:MOBILE</t>
  </si>
  <si>
    <t>351300533411566</t>
  </si>
  <si>
    <t>MT/ACB/572</t>
  </si>
  <si>
    <t>350133667037357</t>
  </si>
  <si>
    <t>MT/ACB/580</t>
  </si>
  <si>
    <t>A366EJ(A36 5G-8/128GB) AWESOME BLACK:SAMSUNG:MOBILE</t>
  </si>
  <si>
    <t>357178227603175</t>
  </si>
  <si>
    <t>MT/ACB/606</t>
  </si>
  <si>
    <t>355299981322943</t>
  </si>
  <si>
    <t>MT/ACB/609</t>
  </si>
  <si>
    <t>S948BC(S26 ULTRA-12/512GB) SKY BLUE:SAMSUNG:MOBILE(T.VALUE)</t>
  </si>
  <si>
    <t>352425610225198</t>
  </si>
  <si>
    <t>MT/ACB/692</t>
  </si>
  <si>
    <t>A176NL(A17 5G-6/128GB) W/O TA GRAY:SAMSUNG:MOBILE</t>
  </si>
  <si>
    <t>355299983716688</t>
  </si>
  <si>
    <t>MT/ACB/710</t>
  </si>
  <si>
    <t>359695532607029</t>
  </si>
  <si>
    <t>13 - Hemang</t>
  </si>
  <si>
    <t>MT/GDRB/34</t>
  </si>
  <si>
    <t>IPHONE 17(256GB) MIST BLUE:APPLE:MOBILE</t>
  </si>
  <si>
    <t>358158216012116</t>
  </si>
  <si>
    <t>MT/GDRB/52</t>
  </si>
  <si>
    <t>IPHONE 17(256GB) WHITE:APPLE:MOBILE</t>
  </si>
  <si>
    <t>357488876949708</t>
  </si>
  <si>
    <t>MT/GDRB/315</t>
  </si>
  <si>
    <t>IPHONE 17 PRO MAX(256GB) COSMIC ORANGE:APPLE:MOBILE</t>
  </si>
  <si>
    <t>353927619353342</t>
  </si>
  <si>
    <t>MT/GDRB/316</t>
  </si>
  <si>
    <t>353927619832535</t>
  </si>
  <si>
    <t>MT/GDRB/28</t>
  </si>
  <si>
    <t>358557215884575</t>
  </si>
  <si>
    <t>MT/GDRB/5</t>
  </si>
  <si>
    <t>MOTO G57 (8/128GB) PANTONE REGATTA:MOTOROLA:MOBILE</t>
  </si>
  <si>
    <t>359006539721435</t>
  </si>
  <si>
    <t>MT/GDRB/47</t>
  </si>
  <si>
    <t>353324451023417</t>
  </si>
  <si>
    <t>MT/GDRB/60</t>
  </si>
  <si>
    <t>MOTO EDGE 70 (8/256GB) BRONZE GREEN:MOTOROLA:MOBILE</t>
  </si>
  <si>
    <t>355062882155352</t>
  </si>
  <si>
    <t>MT/GDRB/66</t>
  </si>
  <si>
    <t>MOTO G45 (8/128GB) DAHILA PURPPLE:MOTOROLA:MOBILE</t>
  </si>
  <si>
    <t>353545922620098</t>
  </si>
  <si>
    <t>MT/GDRB/73</t>
  </si>
  <si>
    <t>MOTO G57 (8/128GB) PANTONE FLUIDITY:MOTOROLA:MOBILE</t>
  </si>
  <si>
    <t>357355572918610</t>
  </si>
  <si>
    <t>MT/GDRB/90</t>
  </si>
  <si>
    <t>356231213515837</t>
  </si>
  <si>
    <t>MT/GDRB/117</t>
  </si>
  <si>
    <t>357279952196110</t>
  </si>
  <si>
    <t>MT/GDRB/119</t>
  </si>
  <si>
    <t>MOTO EDGE 60 FUSION (8/128GB) AMAZONITE:MOTOROLA:MOBILE</t>
  </si>
  <si>
    <t>351587387265656</t>
  </si>
  <si>
    <t>MT/GDRB/211</t>
  </si>
  <si>
    <t>357279952993896</t>
  </si>
  <si>
    <t>MT/GDRB/242</t>
  </si>
  <si>
    <t>MOTO EDGE 70 FUSION (12/256GB) BLUE SURF:MOTOROLA:MOBILE</t>
  </si>
  <si>
    <t>357279950986975</t>
  </si>
  <si>
    <t>MT/GDRB/274</t>
  </si>
  <si>
    <t>358557214772193</t>
  </si>
  <si>
    <t>MT/GDRB/301</t>
  </si>
  <si>
    <t>357355576671553</t>
  </si>
  <si>
    <t>MT/GDRB/302</t>
  </si>
  <si>
    <t>357355576668070</t>
  </si>
  <si>
    <t>MT/GDRB/325</t>
  </si>
  <si>
    <t>MOTO G67 POWER (8/128GB) PARACHUTE:MOTOROLA:MOBILE</t>
  </si>
  <si>
    <t>356944974358938</t>
  </si>
  <si>
    <t>MT/GDRB/18</t>
  </si>
  <si>
    <t>869066074572737</t>
  </si>
  <si>
    <t>POCO</t>
  </si>
  <si>
    <t>MT/GDRB/151</t>
  </si>
  <si>
    <t>C85X (4/64GB) EMERALD GREEN:POCO:MOBILE</t>
  </si>
  <si>
    <t>864960082296500</t>
  </si>
  <si>
    <t>MT/GDRB/288</t>
  </si>
  <si>
    <t>864960082593427</t>
  </si>
  <si>
    <t>MT/GDRB/112</t>
  </si>
  <si>
    <t>16 5G (8/128GB) AIR WHITE:REALME:MOBILE</t>
  </si>
  <si>
    <t>866389080114531</t>
  </si>
  <si>
    <t>MT/GDRB/23</t>
  </si>
  <si>
    <t>A366EJ(A36 5G-8/128GB) AWESOME WHITE:SAMSUNG:MOBILE</t>
  </si>
  <si>
    <t>357178227534784</t>
  </si>
  <si>
    <t>MT/GDRB/304</t>
  </si>
  <si>
    <t>350037990278853</t>
  </si>
  <si>
    <t>MT/GDRB/308</t>
  </si>
  <si>
    <t>350037990172320</t>
  </si>
  <si>
    <t>MT/GDRB/326</t>
  </si>
  <si>
    <t>A176NM(A17 5G-8/128GB) W/O TA BLACK:SAMSUNG:MOBILE</t>
  </si>
  <si>
    <t>356137745501528</t>
  </si>
  <si>
    <t>MT/GDRB/1</t>
  </si>
  <si>
    <t>Y300 5G (8/256GB) EMERALD GREEN:VIVO:MOBILE</t>
  </si>
  <si>
    <t>864890071584550</t>
  </si>
  <si>
    <t>MT/GDRB/6</t>
  </si>
  <si>
    <t>Y400 PRO (8/256GB) NEMBULA PURPLE:VIVO:MOBILE</t>
  </si>
  <si>
    <t>868165070318755</t>
  </si>
  <si>
    <t>MT/GDRB/7</t>
  </si>
  <si>
    <t>864155085213251</t>
  </si>
  <si>
    <t>MT/GDRB/36</t>
  </si>
  <si>
    <t>Y21 5G (4/128GB) MIDNIGHT BLUE:VIVO:MOBILE</t>
  </si>
  <si>
    <t>869636086422251</t>
  </si>
  <si>
    <t>MT/GDRB/43</t>
  </si>
  <si>
    <t>T5X 5G (6/128GB) CYBER GREEN:VIVO:MOBILE</t>
  </si>
  <si>
    <t>863204086854936</t>
  </si>
  <si>
    <t>MT/GDRB/65</t>
  </si>
  <si>
    <t>861636081703059</t>
  </si>
  <si>
    <t>MT/GDRB/76</t>
  </si>
  <si>
    <t>V70 ELITE 5G (12/256GB) SAND BEIGE:VIVO:MOBILE</t>
  </si>
  <si>
    <t>864253088194097</t>
  </si>
  <si>
    <t>MT/GDRB/102</t>
  </si>
  <si>
    <t>V70 ELITE 5G (12/256GB) PASSION RED:VIVO:MOBILE</t>
  </si>
  <si>
    <t>864253086260536</t>
  </si>
  <si>
    <t>MT/GDRB/105</t>
  </si>
  <si>
    <t>V70 ELITE 5G (8/256GB) AUTHENTIC BLACK:VIVO:MOBILE</t>
  </si>
  <si>
    <t>864253084287036</t>
  </si>
  <si>
    <t>MT/GDRB/87</t>
  </si>
  <si>
    <t>864001084380719</t>
  </si>
  <si>
    <t>MT/GDRB/89</t>
  </si>
  <si>
    <t>Y400 5G (8/128GB) GLAM WHITE:VIVO:MOBILE</t>
  </si>
  <si>
    <t>868526074853859</t>
  </si>
  <si>
    <t>MT/GDRB/92</t>
  </si>
  <si>
    <t>864155084875373</t>
  </si>
  <si>
    <t>MT/GDRB/97</t>
  </si>
  <si>
    <t>867203082076433</t>
  </si>
  <si>
    <t>MT/GDRB/99</t>
  </si>
  <si>
    <t>Y31 5G (6/128GB) DIAMOND GREEN:VIVO:MOBILE</t>
  </si>
  <si>
    <t>866150081194207</t>
  </si>
  <si>
    <t>MT/GDRB/110</t>
  </si>
  <si>
    <t>Y11 5G (4/64GB) MIDNIGHT BLUE:VIVO:MOBILE</t>
  </si>
  <si>
    <t>864001084551434</t>
  </si>
  <si>
    <t>MT/GDRB/146</t>
  </si>
  <si>
    <t>Y19E (4/64GB) MAJESTIC GREEN:VIVO:MOBILE</t>
  </si>
  <si>
    <t>868237074932863</t>
  </si>
  <si>
    <t>MT/GDRB/150</t>
  </si>
  <si>
    <t>861636081438110</t>
  </si>
  <si>
    <t>MT/GDRB/184</t>
  </si>
  <si>
    <t>869636084552018</t>
  </si>
  <si>
    <t>MT/GDRB/186</t>
  </si>
  <si>
    <t>V70 FE 5G (8/256GB) MONSOON BLUE:VIVO:MOBILE</t>
  </si>
  <si>
    <t>861130087506351</t>
  </si>
  <si>
    <t>MT/GDRB/210</t>
  </si>
  <si>
    <t>864001083450877</t>
  </si>
  <si>
    <t>MT/GDRB/227</t>
  </si>
  <si>
    <t>Y19E (4/64GB) TITANIUM SILVER:VIVO:MOBILE</t>
  </si>
  <si>
    <t>868237073450222</t>
  </si>
  <si>
    <t>MT/GDRB/230</t>
  </si>
  <si>
    <t>V70 FE 5G (8/128GB) NORTHERN LIGHTS PURPLE:VIVO:MOBILE</t>
  </si>
  <si>
    <t>861130087314210</t>
  </si>
  <si>
    <t>MT/GDRB/233</t>
  </si>
  <si>
    <t>864001083454994</t>
  </si>
  <si>
    <t>MT/GDRB/249</t>
  </si>
  <si>
    <t>867203082108715</t>
  </si>
  <si>
    <t>MT/GDRB/255</t>
  </si>
  <si>
    <t>Y51 PRO 5G (8/128GB) FESTIVE RED:VIVO:MOBILE</t>
  </si>
  <si>
    <t>864155083734498</t>
  </si>
  <si>
    <t>MT/GDRB/282</t>
  </si>
  <si>
    <t>866150081912145</t>
  </si>
  <si>
    <t>MT/GDRB/293</t>
  </si>
  <si>
    <t>864001083768070</t>
  </si>
  <si>
    <t>MT/GDRB/299</t>
  </si>
  <si>
    <t>864001082252373</t>
  </si>
  <si>
    <t>MT/GDRB/339</t>
  </si>
  <si>
    <t>861135083767642</t>
  </si>
  <si>
    <t>MT/GDRB/139</t>
  </si>
  <si>
    <t>REDMI 15A 5G (4/128GB) AWESOME BLUE:XIAOMI:MOBILE</t>
  </si>
  <si>
    <t>866938081860482</t>
  </si>
  <si>
    <t>MT/GDRB/213</t>
  </si>
  <si>
    <t>REDMI NOTE 15 5G (8/128GB) BLACK:XIAOMI:MOBILE</t>
  </si>
  <si>
    <t>868495074473961</t>
  </si>
  <si>
    <t>MT/GDRB/286</t>
  </si>
  <si>
    <t>REDMI NOTE 15 5G (8/128GB) GLACIER BLUE:XIAOMI:MOBILE</t>
  </si>
  <si>
    <t>868495076413924</t>
  </si>
  <si>
    <t>MT/GDRB/334</t>
  </si>
  <si>
    <t>866938083547822</t>
  </si>
  <si>
    <t>14 - NAKIB</t>
  </si>
  <si>
    <t>MT/ACB/369</t>
  </si>
  <si>
    <t>356944973487738</t>
  </si>
  <si>
    <t>MT/ACB/592</t>
  </si>
  <si>
    <t>357279952988771</t>
  </si>
  <si>
    <t>MT/ACB/665</t>
  </si>
  <si>
    <t>357355576672494</t>
  </si>
  <si>
    <t>MT/ACB/489</t>
  </si>
  <si>
    <t>13S 5G(12/256GB) BLACK VELVET:ONE PLUS:MOBILE</t>
  </si>
  <si>
    <t>860677073000196</t>
  </si>
  <si>
    <t>OPPO</t>
  </si>
  <si>
    <t>MT/ACB/334</t>
  </si>
  <si>
    <t>RENO 15C 5G (8/256GB) AFTERGLOW PINK:OPPO:MOBILE</t>
  </si>
  <si>
    <t>864052086756133</t>
  </si>
  <si>
    <t>MT/ACB/375</t>
  </si>
  <si>
    <t>RENO 15 PRO MINI 5G (12/256GB) GLACIER WHITE:OPPO:MOBILE</t>
  </si>
  <si>
    <t>861143081987774</t>
  </si>
  <si>
    <t>MT/ACB/389</t>
  </si>
  <si>
    <t>16 PRO+ 5G (8/128GB) MASTER GOLD:REALME:MOBILE</t>
  </si>
  <si>
    <t>865616081784115</t>
  </si>
  <si>
    <t>MT/ACB/1</t>
  </si>
  <si>
    <t>356276610747764</t>
  </si>
  <si>
    <t>MT/ACB/379</t>
  </si>
  <si>
    <t>REDMI 15C 5G (6/128GB) DUSK PURPLE:XIAOMI:MOBILE</t>
  </si>
  <si>
    <t>862554075314305</t>
  </si>
  <si>
    <t>MT/ACB/405</t>
  </si>
  <si>
    <t>REDMI NOTE 15 PRO+ (8/256GB) CARBON BLACK:XIAOMI:MOBILE</t>
  </si>
  <si>
    <t>869616080726865</t>
  </si>
  <si>
    <t>MT/ACB/421</t>
  </si>
  <si>
    <t>REDMI 15A 5G (4/128GB) ACE BLACK:XIAOMI:MOBILE</t>
  </si>
  <si>
    <t>866938083094726</t>
  </si>
  <si>
    <t>MT/ACB/468</t>
  </si>
  <si>
    <t>REDMI NOTE 15 PRO+ (12/512GB) COFFEE MOCHA:XIAOMI:MOBILE</t>
  </si>
  <si>
    <t>869616081355763</t>
  </si>
  <si>
    <t>MT/ACB/490</t>
  </si>
  <si>
    <t>REDMI 15A 5G (4/128GB) AMAZE PURPLE:XIAOMI:MOBILE</t>
  </si>
  <si>
    <t>866938081358024</t>
  </si>
  <si>
    <t>MT/ACB/527</t>
  </si>
  <si>
    <t>866938081360483</t>
  </si>
  <si>
    <t>MT/ACB/533</t>
  </si>
  <si>
    <t>REDMI 15 5G (6/128GB) FROSTED WHITE:XIAOMI:MOBILE</t>
  </si>
  <si>
    <t>862539082812847</t>
  </si>
  <si>
    <t>MT/ACB/605</t>
  </si>
  <si>
    <t>862554075425523</t>
  </si>
  <si>
    <t>MT/ACB/727</t>
  </si>
  <si>
    <t>REDMI NOTE 15 5G (8/128GB) MIST PURPLE:XIAOMI:MOBILE</t>
  </si>
  <si>
    <t>868495077770066</t>
  </si>
  <si>
    <t>15 - NIKUNJ JOSHI</t>
  </si>
  <si>
    <t>MT/ACB/509</t>
  </si>
  <si>
    <t>IPHONE 16(128GB) WHITE:APPLE:MOBILE</t>
  </si>
  <si>
    <t>356342310623372</t>
  </si>
  <si>
    <t>MT/ACB/71</t>
  </si>
  <si>
    <t>HOT 60 5G (6/128GB) TUNDRA GREEN:INFINIX:MOBILE</t>
  </si>
  <si>
    <t>358168451517596</t>
  </si>
  <si>
    <t>MT/ACB/20</t>
  </si>
  <si>
    <t>359006539721757</t>
  </si>
  <si>
    <t>MT/ACB/159</t>
  </si>
  <si>
    <t>357279952196631</t>
  </si>
  <si>
    <t>MT/ACB/185</t>
  </si>
  <si>
    <t>356944974391616</t>
  </si>
  <si>
    <t>MT/ACB/190</t>
  </si>
  <si>
    <t>357279952196938</t>
  </si>
  <si>
    <t>MT/ACB/197</t>
  </si>
  <si>
    <t>MOTO G35 (8/128GB) LEAF GREEN:MOTOROLA:MOBILE</t>
  </si>
  <si>
    <t>358557219909857</t>
  </si>
  <si>
    <t>MT/ACB/203</t>
  </si>
  <si>
    <t>357355572919394</t>
  </si>
  <si>
    <t>MT/ACB/229</t>
  </si>
  <si>
    <t>357279952199072</t>
  </si>
  <si>
    <t>MT/ACB/241</t>
  </si>
  <si>
    <t>357279952198934</t>
  </si>
  <si>
    <t>MT/ACB/259</t>
  </si>
  <si>
    <t>356231213231419</t>
  </si>
  <si>
    <t>MT/ACB/263</t>
  </si>
  <si>
    <t>357355572906599</t>
  </si>
  <si>
    <t>MT/ACB/268</t>
  </si>
  <si>
    <t>358557214779057</t>
  </si>
  <si>
    <t>MT/ACB/288</t>
  </si>
  <si>
    <t>354510965203938</t>
  </si>
  <si>
    <t>MT/ACB/299</t>
  </si>
  <si>
    <t>MOTO G96 (8/128GB) DRESDEN BLUE:MOTOROLA:MOBILE</t>
  </si>
  <si>
    <t>354080687115596</t>
  </si>
  <si>
    <t>MT/ACB/305</t>
  </si>
  <si>
    <t>MOTO EDGE 60 FUSION (8/128GB) SLIPSTREAM:MOTOROLA:MOBILE</t>
  </si>
  <si>
    <t>354845692358773</t>
  </si>
  <si>
    <t>MT/ACB/488</t>
  </si>
  <si>
    <t>357355576668476</t>
  </si>
  <si>
    <t>MT/ACB/525</t>
  </si>
  <si>
    <t>357279950985274</t>
  </si>
  <si>
    <t>MT/ACB/530</t>
  </si>
  <si>
    <t>351587387264394</t>
  </si>
  <si>
    <t>MT/ACB/540</t>
  </si>
  <si>
    <t>357279952983855</t>
  </si>
  <si>
    <t>MT/ACB/573</t>
  </si>
  <si>
    <t>MOTO EDGE 70 FUSION (12/256GB) SILHOUTTE:MOTOROLA:MOBILE</t>
  </si>
  <si>
    <t>353324452681718</t>
  </si>
  <si>
    <t>MT/ACB/607</t>
  </si>
  <si>
    <t>357279952983756</t>
  </si>
  <si>
    <t>MT/ACB/639</t>
  </si>
  <si>
    <t>MOTO G06 (4/64GB) PANTONE TAPESTRY:MOTOROLA:MOBILE</t>
  </si>
  <si>
    <t>356849606386332</t>
  </si>
  <si>
    <t>MT/ACB/655</t>
  </si>
  <si>
    <t>MOTO EDGE 60 FUSION (12/256GB) SLIPSTREAM:MOTOROLA:MOBILE</t>
  </si>
  <si>
    <t>351587387828339</t>
  </si>
  <si>
    <t>MT/ACB/685</t>
  </si>
  <si>
    <t>358557214238336</t>
  </si>
  <si>
    <t>MT/ACB/706</t>
  </si>
  <si>
    <t>358557216130994</t>
  </si>
  <si>
    <t>MT/ACB/177</t>
  </si>
  <si>
    <t>869066074572935</t>
  </si>
  <si>
    <t>MT/ACB/217</t>
  </si>
  <si>
    <t>869066074632598</t>
  </si>
  <si>
    <t>MT/ACB/498</t>
  </si>
  <si>
    <t>F29 PRO 5G(8/128GB) MARBLE WHITE:OPPO:MOBILE</t>
  </si>
  <si>
    <t>860860071447276</t>
  </si>
  <si>
    <t>MT/ACB/453</t>
  </si>
  <si>
    <t>E176BA(F17 5G-4/128GB) NEO BLACK:SAMSUNG:MOBILE(T.VALUE)</t>
  </si>
  <si>
    <t>350133667034479</t>
  </si>
  <si>
    <t>MT/ACB/562</t>
  </si>
  <si>
    <t>A075FD(A07 4G-4/64GB) LIGHT VIOLET:SAMSUNG:MOBILE</t>
  </si>
  <si>
    <t>354372910503684</t>
  </si>
  <si>
    <t>SRN/ACB/3</t>
  </si>
  <si>
    <t>SPARK-10 (KI5Q-8/128GB) MAGSKIN ORANGE:TECNO:MOBILE</t>
  </si>
  <si>
    <t>359749531611324</t>
  </si>
  <si>
    <t>MT/ACB/314</t>
  </si>
  <si>
    <t>SPARK 30C 5G (KL8H-8/128GB) ARORA CLOUD:TECNO:MOBILE</t>
  </si>
  <si>
    <t>355257454424935</t>
  </si>
  <si>
    <t>MT/ACB/633</t>
  </si>
  <si>
    <t>864001082807895</t>
  </si>
  <si>
    <t>MT/ACB/730</t>
  </si>
  <si>
    <t>REDMI NOTE 14 PRO+ 5G (8/128GB) SPECTER BLUE:XIAOMI:MOBILE</t>
  </si>
  <si>
    <t>868358070737187</t>
  </si>
  <si>
    <t>16 - UMANG</t>
  </si>
  <si>
    <t>MT/ACB/53</t>
  </si>
  <si>
    <t>IPHONE 17(256GB) LAVENDER:APPLE:MOBILE</t>
  </si>
  <si>
    <t>352626666097312</t>
  </si>
  <si>
    <t>MT/ACB/591</t>
  </si>
  <si>
    <t>354774863138295</t>
  </si>
  <si>
    <t>MT/ACB/12</t>
  </si>
  <si>
    <t>359006539721195</t>
  </si>
  <si>
    <t>MT/ACB/6</t>
  </si>
  <si>
    <t>359006539717375</t>
  </si>
  <si>
    <t>MT/ACB/107</t>
  </si>
  <si>
    <t>MOTO EDGE 60 FUSION (8/128GB) ZEPHYR:MOTOROLA:MOBILE</t>
  </si>
  <si>
    <t>351587386726831</t>
  </si>
  <si>
    <t>MT/ACB/116</t>
  </si>
  <si>
    <t>353324455605755</t>
  </si>
  <si>
    <t>MT/ACB/117</t>
  </si>
  <si>
    <t>359006539721419</t>
  </si>
  <si>
    <t>MT/ACB/82</t>
  </si>
  <si>
    <t>MOTO EDGE 70 FUSION (8/128GB) BLUE SURF:MOTOROLA:MOBILE</t>
  </si>
  <si>
    <t>353324456624896</t>
  </si>
  <si>
    <t>MT/ACB/148</t>
  </si>
  <si>
    <t>357279952196573</t>
  </si>
  <si>
    <t>MT/ACB/196</t>
  </si>
  <si>
    <t>359006539713614</t>
  </si>
  <si>
    <t>MT/ACB/204</t>
  </si>
  <si>
    <t>357355572918776</t>
  </si>
  <si>
    <t>MT/ACB/211</t>
  </si>
  <si>
    <t>MOTO EDGE 70 (8/256GB) LILY PAD:MOTOROLA:MOBILE</t>
  </si>
  <si>
    <t>355062882682272</t>
  </si>
  <si>
    <t>MT/ACB/223</t>
  </si>
  <si>
    <t>357355572909718</t>
  </si>
  <si>
    <t>MT/ACB/315</t>
  </si>
  <si>
    <t>351587387265698</t>
  </si>
  <si>
    <t>MT/ACB/499</t>
  </si>
  <si>
    <t>358557214340496</t>
  </si>
  <si>
    <t>MT/ACB/556</t>
  </si>
  <si>
    <t>MOTO G67 POWER (8/128GB) BLUE:MOTOROLA:MOBILE</t>
  </si>
  <si>
    <t>356944975515999</t>
  </si>
  <si>
    <t>MT/ACB/604</t>
  </si>
  <si>
    <t>356231213510713</t>
  </si>
  <si>
    <t>MT/ACB/617</t>
  </si>
  <si>
    <t>356944975516492</t>
  </si>
  <si>
    <t>MT/ACB/209</t>
  </si>
  <si>
    <t>HMD-100(SINGLESIM-TA-1761) GREY:NOKIA:MOBILE</t>
  </si>
  <si>
    <t>351813215456261</t>
  </si>
  <si>
    <t>NOTHING</t>
  </si>
  <si>
    <t>MT/ACB/403</t>
  </si>
  <si>
    <t>PHONE 4A PRO (12/256GB) BLACK:NOTHING:MOBILE</t>
  </si>
  <si>
    <t>357998630160897</t>
  </si>
  <si>
    <t>MT/ACB/318</t>
  </si>
  <si>
    <t>NORD 5 (12/256GB) DRY ICE:ONE PLUS:MOBILE</t>
  </si>
  <si>
    <t>863995074510097</t>
  </si>
  <si>
    <t>MT/ACB/538</t>
  </si>
  <si>
    <t>869066074631996</t>
  </si>
  <si>
    <t>MT/ACB/578</t>
  </si>
  <si>
    <t>NORD 5 (8/256GB) DRY ICE:ONE PLUS:MOBILE</t>
  </si>
  <si>
    <t>869066074548778</t>
  </si>
  <si>
    <t>MT/ACB/681</t>
  </si>
  <si>
    <t>863995074523090</t>
  </si>
  <si>
    <t>MT/ACB/718</t>
  </si>
  <si>
    <t>NORD 4 (8/256GB) OBSIDIAN MIDNIGHT:ONE PLUS:MOBILE</t>
  </si>
  <si>
    <t>863307072616035</t>
  </si>
  <si>
    <t>SRN/ACB/4</t>
  </si>
  <si>
    <t>A6 5G (6/128GB) ICE WHITE:OPPO:MOBILE</t>
  </si>
  <si>
    <t>869672081524270</t>
  </si>
  <si>
    <t>MT/ACB/303</t>
  </si>
  <si>
    <t>A6 5G (6/256GB) ICE WHITE:OPPO:MOBILE</t>
  </si>
  <si>
    <t>869672083962171</t>
  </si>
  <si>
    <t>MT/ACB/423</t>
  </si>
  <si>
    <t>F31 PRO 5G (8/128GB) DESERT GOLD:OPPO:MOBILE</t>
  </si>
  <si>
    <t>865761076427393</t>
  </si>
  <si>
    <t>MT/ACB/462</t>
  </si>
  <si>
    <t>RENO 15 PRO MINI 5G (12/256GB) COCOA BROWN:OPPO:MOBILE</t>
  </si>
  <si>
    <t>861143085103154</t>
  </si>
  <si>
    <t>MT/ACB/151</t>
  </si>
  <si>
    <t>15T 5G (8/128GB) FLOWING SILVER:REALME:MOBILE</t>
  </si>
  <si>
    <t>868088085425672</t>
  </si>
  <si>
    <t>MT/ACB/215</t>
  </si>
  <si>
    <t>C83 5G (4/128GB) SPROUTING GREEN:REALME:MOBILE</t>
  </si>
  <si>
    <t>860543080403833</t>
  </si>
  <si>
    <t>MT/ACB/431</t>
  </si>
  <si>
    <t>15 PRO 5G (8/256GB) FLOWING SILVER:REALME:MOBILE</t>
  </si>
  <si>
    <t>860223074624138</t>
  </si>
  <si>
    <t>MT/ACB/471</t>
  </si>
  <si>
    <t>P4X 5G (8/128GB) SILVER:REALME:MOBILE</t>
  </si>
  <si>
    <t>861595086831879</t>
  </si>
  <si>
    <t>MT/ACB/622</t>
  </si>
  <si>
    <t>C83 5G (4/128GB) BLOOMING PURPLE:REALME:MOBILE(T.VALUE)</t>
  </si>
  <si>
    <t>863074083665639</t>
  </si>
  <si>
    <t>MT/ACB/22</t>
  </si>
  <si>
    <t>350037990364984</t>
  </si>
  <si>
    <t>MT/ACB/55</t>
  </si>
  <si>
    <t>350037990367334</t>
  </si>
  <si>
    <t>MT/ACB/139</t>
  </si>
  <si>
    <t>356137746819200</t>
  </si>
  <si>
    <t>MT/ACB/371</t>
  </si>
  <si>
    <t>350037990367755</t>
  </si>
  <si>
    <t>MT/ACB/448</t>
  </si>
  <si>
    <t>A176NL(A17 5G-6/128GB) W/O TA BLUE:SAMSUNG:MOBILE(T.VALUE)</t>
  </si>
  <si>
    <t>355299981541997</t>
  </si>
  <si>
    <t>MT/ACB/477</t>
  </si>
  <si>
    <t>350133667035039</t>
  </si>
  <si>
    <t>MT/ACB/520</t>
  </si>
  <si>
    <t>356276611982931</t>
  </si>
  <si>
    <t>MT/ACB/558</t>
  </si>
  <si>
    <t>356276611210457</t>
  </si>
  <si>
    <t>MT/ACB/629</t>
  </si>
  <si>
    <t>350133665794868</t>
  </si>
  <si>
    <t>MT/ACB/313</t>
  </si>
  <si>
    <t>SPARK GO 5G (KM8-4/128GB) SKY BLUE:TECNO:MOBILE</t>
  </si>
  <si>
    <t>357683480749995</t>
  </si>
  <si>
    <t>SPARK GO 5G (KM8-4/128GB) TURQUOISE GREEN:TECNO:MOBILE</t>
  </si>
  <si>
    <t>357683480843954</t>
  </si>
  <si>
    <t>MT/ACB/392</t>
  </si>
  <si>
    <t>864001083956253</t>
  </si>
  <si>
    <t>MT/ACB/659</t>
  </si>
  <si>
    <t>864001082336077</t>
  </si>
  <si>
    <t>MT/ACB/678</t>
  </si>
  <si>
    <t>T4 ULTRA (12/512GB) PHOENIX GOLD:VIVO:MOBILE</t>
  </si>
  <si>
    <t>869549078495294</t>
  </si>
  <si>
    <t>MT/ACB/700</t>
  </si>
  <si>
    <t>V70 ELITE 5G (8/256GB) SAND BEIGE:VIVO:MOBILE</t>
  </si>
  <si>
    <t>864253084698737</t>
  </si>
  <si>
    <t>MT/ACB/517</t>
  </si>
  <si>
    <t>REDMI A5 (4/128GB) JAISALMER GOLD:XIAOMI:MOBILE</t>
  </si>
  <si>
    <t>861307078830004</t>
  </si>
  <si>
    <t>2 - BHARGAV</t>
  </si>
  <si>
    <t>ITEL</t>
  </si>
  <si>
    <t>MT/GDRB/259</t>
  </si>
  <si>
    <t>A100 (A6611L-3/64GB) TITANIUM GOLD:ITEL:MOBILE</t>
  </si>
  <si>
    <t>357512820625336</t>
  </si>
  <si>
    <t>MT/GDRB/13</t>
  </si>
  <si>
    <t>358557215884690</t>
  </si>
  <si>
    <t>MT/GDRB/63</t>
  </si>
  <si>
    <t>354845692359235</t>
  </si>
  <si>
    <t>MT/GDRB/70</t>
  </si>
  <si>
    <t>357355572918313</t>
  </si>
  <si>
    <t>MT/GDRB/78</t>
  </si>
  <si>
    <t>357355572917877</t>
  </si>
  <si>
    <t>MT/GDRB/120</t>
  </si>
  <si>
    <t>353545922622219</t>
  </si>
  <si>
    <t>MT/GDRB/127</t>
  </si>
  <si>
    <t>353324456120457</t>
  </si>
  <si>
    <t>MT/GDRB/161</t>
  </si>
  <si>
    <t>357355576668153</t>
  </si>
  <si>
    <t>357355576668211</t>
  </si>
  <si>
    <t>357355576668252</t>
  </si>
  <si>
    <t>357355576668278</t>
  </si>
  <si>
    <t>357355576668450</t>
  </si>
  <si>
    <t>357355576668559</t>
  </si>
  <si>
    <t>357355576669151</t>
  </si>
  <si>
    <t>357355576674292</t>
  </si>
  <si>
    <t>MT/GDRB/189</t>
  </si>
  <si>
    <t>357355572909056</t>
  </si>
  <si>
    <t>MT/GDRB/205</t>
  </si>
  <si>
    <t>MOTO G96 (8/128GB) CATTLEYA ORCHID:MOTOROLA:MOBILE</t>
  </si>
  <si>
    <t>354080686400999</t>
  </si>
  <si>
    <t>MT/GDRB/223</t>
  </si>
  <si>
    <t>357355576672916</t>
  </si>
  <si>
    <t>MT/GDRB/341</t>
  </si>
  <si>
    <t>MOTO G96 (8/128GB) GREENER PASTURES:MOTOROLA:MOBILE</t>
  </si>
  <si>
    <t>355024343668738</t>
  </si>
  <si>
    <t>MT/GDRB/338</t>
  </si>
  <si>
    <t>HMD-130(MUSIC-DUALSIM-TA-1714) GREY:NOKIA:MOBILE</t>
  </si>
  <si>
    <t>350080067278547</t>
  </si>
  <si>
    <t>MT/GDRB/279</t>
  </si>
  <si>
    <t>PHONE 4A PRO (8/128GB) BLACK:NOTHING:MOBILE</t>
  </si>
  <si>
    <t>357998630459075</t>
  </si>
  <si>
    <t>MT/GDRB/265</t>
  </si>
  <si>
    <t>A6X 5G (4/64GB) ICE BLUE:OPPO:MOBILE</t>
  </si>
  <si>
    <t>869556083441536</t>
  </si>
  <si>
    <t>MT/GDRB/162</t>
  </si>
  <si>
    <t>864960082588682</t>
  </si>
  <si>
    <t>MT/GDRB/126</t>
  </si>
  <si>
    <t>16 5G (12/256GB) AIR WHITE:REALME:MOBILE</t>
  </si>
  <si>
    <t>866389083177477</t>
  </si>
  <si>
    <t>MT/GDRB/202</t>
  </si>
  <si>
    <t>P4 5G (6/128GB) STEEL GREY:REALME:MOBILE</t>
  </si>
  <si>
    <t>866799085895274</t>
  </si>
  <si>
    <t>MT/GDRB/42</t>
  </si>
  <si>
    <t>350037990384537</t>
  </si>
  <si>
    <t>MT/GDRB/56</t>
  </si>
  <si>
    <t>A566EG(A56 5G-8/256GB) AWESOME OLIVE:SAMSUNG:MOBILE</t>
  </si>
  <si>
    <t>351300533232251</t>
  </si>
  <si>
    <t>MT/GDRB/72</t>
  </si>
  <si>
    <t>350037990384594</t>
  </si>
  <si>
    <t>MT/GDRB/135</t>
  </si>
  <si>
    <t>355299982854258</t>
  </si>
  <si>
    <t>MT/GDRB/140</t>
  </si>
  <si>
    <t>359695532607797</t>
  </si>
  <si>
    <t>MT/GDRB/144</t>
  </si>
  <si>
    <t>352822575174066</t>
  </si>
  <si>
    <t>MT/GDRB/148</t>
  </si>
  <si>
    <t>356137747659498</t>
  </si>
  <si>
    <t>MT/GDRB/166</t>
  </si>
  <si>
    <t>350133663984164</t>
  </si>
  <si>
    <t>MT/GDRB/169</t>
  </si>
  <si>
    <t>A176NL(A17 5G-6/128GB) W/O TA BLACK:SAMSUNG:MOBILE</t>
  </si>
  <si>
    <t>355299982812249</t>
  </si>
  <si>
    <t>MT/GDRB/235</t>
  </si>
  <si>
    <t>350133663986482</t>
  </si>
  <si>
    <t>MT/GDRB/268</t>
  </si>
  <si>
    <t>350037990267443</t>
  </si>
  <si>
    <t>MT/GDRB/319</t>
  </si>
  <si>
    <t>356137747312270</t>
  </si>
  <si>
    <t>MT/GDRB/329</t>
  </si>
  <si>
    <t>A176NN(A17 5G-8/256GB) W/O TA GRAY:SAMSUNG:MOBILE</t>
  </si>
  <si>
    <t>350037992182988</t>
  </si>
  <si>
    <t>MT/GDRB/39</t>
  </si>
  <si>
    <t>POVA 7 PRO (JL8-8/128GB) GEEK BLACK:TECNO:MOBILE</t>
  </si>
  <si>
    <t>359299520254470</t>
  </si>
  <si>
    <t>MT/GDRB/15</t>
  </si>
  <si>
    <t>863204086854837</t>
  </si>
  <si>
    <t>MT/GDRB/50</t>
  </si>
  <si>
    <t>Y31 5G (4/128GB) ROSE RED:VIVO:MOBILE</t>
  </si>
  <si>
    <t>866592085247012</t>
  </si>
  <si>
    <t>MT/GDRB/100</t>
  </si>
  <si>
    <t>861135082658966</t>
  </si>
  <si>
    <t>MT/GDRB/123</t>
  </si>
  <si>
    <t>T4 LITE 5G (6/128GB) TITANIUM GOLD:VIVO:MOBILE</t>
  </si>
  <si>
    <t>863477087363269</t>
  </si>
  <si>
    <t>MT/GDRB/172</t>
  </si>
  <si>
    <t>868237074609685</t>
  </si>
  <si>
    <t>MT/GDRB/114</t>
  </si>
  <si>
    <t>869616081034780</t>
  </si>
  <si>
    <t>MT/GDRB/190</t>
  </si>
  <si>
    <t>REDMI A5 (3/64GB) PONDICHERRY BLUE:XIAOMI:MOBILE</t>
  </si>
  <si>
    <t>864902084242009</t>
  </si>
  <si>
    <t>MT/GDRB/218</t>
  </si>
  <si>
    <t>866938081800306</t>
  </si>
  <si>
    <t>MT/GDRB/271</t>
  </si>
  <si>
    <t>REDMI 15A 5G (6/128GB) AMAZE PURPLE:XIAOMI:MOBILE</t>
  </si>
  <si>
    <t>866938081048443</t>
  </si>
  <si>
    <t>MT/GDRB/320</t>
  </si>
  <si>
    <t>866938081361887</t>
  </si>
  <si>
    <t>2 - DIPAK MAKWANA</t>
  </si>
  <si>
    <t>MT/ACB/167</t>
  </si>
  <si>
    <t>SMART 10 (4/64GB) IRIS BLUE:INFINIX:MOBILE</t>
  </si>
  <si>
    <t>356821920108270</t>
  </si>
  <si>
    <t>MT/ACB/122</t>
  </si>
  <si>
    <t>356231213231476</t>
  </si>
  <si>
    <t>MT/ACB/298</t>
  </si>
  <si>
    <t>356231213511059</t>
  </si>
  <si>
    <t>MT/ACB/326</t>
  </si>
  <si>
    <t>356231213515696</t>
  </si>
  <si>
    <t>MT/ACB/486</t>
  </si>
  <si>
    <t>358557214340090</t>
  </si>
  <si>
    <t>MT/ACB/507</t>
  </si>
  <si>
    <t>356944978047370</t>
  </si>
  <si>
    <t>MT/ACB/255</t>
  </si>
  <si>
    <t>869066074631657</t>
  </si>
  <si>
    <t>MT/ACB/17</t>
  </si>
  <si>
    <t>RENO 15C 5G (8/256GB) TWILIGHT BLUE:OPPO:MOBILE</t>
  </si>
  <si>
    <t>864052086005119</t>
  </si>
  <si>
    <t>MT/ACB/88</t>
  </si>
  <si>
    <t>F31 5G (8/128GB) CLOUD GREEN:OPPO:MOBILE</t>
  </si>
  <si>
    <t>862080084971257</t>
  </si>
  <si>
    <t>MT/ACB/247</t>
  </si>
  <si>
    <t>F31 5G (8/256GB) MIDNIGHT BLUE:OPPO:MOBILE</t>
  </si>
  <si>
    <t>862080084308252</t>
  </si>
  <si>
    <t>MT/ACB/270</t>
  </si>
  <si>
    <t>864052086241813</t>
  </si>
  <si>
    <t>MT/ACB/370</t>
  </si>
  <si>
    <t>A5 PRO 5G (8/128GB) FEATHER BLUE:OPPO:MOBILE</t>
  </si>
  <si>
    <t>866254076413810</t>
  </si>
  <si>
    <t>MT/ACB/388</t>
  </si>
  <si>
    <t>869120078776016</t>
  </si>
  <si>
    <t>MT/ACB/440</t>
  </si>
  <si>
    <t>F31 PRO 5G (8/128GB) SPACE GREY:OPPO:MOBILE</t>
  </si>
  <si>
    <t>865761076500710</t>
  </si>
  <si>
    <t>MT/ACB/492</t>
  </si>
  <si>
    <t>863651072377316</t>
  </si>
  <si>
    <t>MT/ACB/549</t>
  </si>
  <si>
    <t>866860076074491</t>
  </si>
  <si>
    <t>MT/ACB/673</t>
  </si>
  <si>
    <t>K14 5G (6/256GB) PRISM WHITE:OPPO:MOBILE</t>
  </si>
  <si>
    <t>860399082447017</t>
  </si>
  <si>
    <t>MT/ACB/15</t>
  </si>
  <si>
    <t>350133667471101</t>
  </si>
  <si>
    <t>MT/ACB/161</t>
  </si>
  <si>
    <t>354372910214522</t>
  </si>
  <si>
    <t>2005-VISHALBHAI</t>
  </si>
  <si>
    <t>SANALA ROAD BRANCH (MORBI)</t>
  </si>
  <si>
    <t>MT/SRB/174</t>
  </si>
  <si>
    <t>IT5608 NEO DEEP BLUE:ITEL:MOBILE</t>
  </si>
  <si>
    <t>354162212640817</t>
  </si>
  <si>
    <t>MT/SRB/33</t>
  </si>
  <si>
    <t>355024343669579</t>
  </si>
  <si>
    <t>MT/SRB/300</t>
  </si>
  <si>
    <t>MOTO EDGE 70 FUSION (8/256GB) SILHOUTTE:MOTOROLA:MOBILE</t>
  </si>
  <si>
    <t>357279952757036</t>
  </si>
  <si>
    <t>MT/SRB/182</t>
  </si>
  <si>
    <t>869066074632291</t>
  </si>
  <si>
    <t>MT/SRB/279</t>
  </si>
  <si>
    <t>869066074632390</t>
  </si>
  <si>
    <t>MT/SRB/29</t>
  </si>
  <si>
    <t>A6X 5G (6/128GB) ICE BLUE:OPPO:MOBILE</t>
  </si>
  <si>
    <t>867932081945954</t>
  </si>
  <si>
    <t>MT/SRB/26</t>
  </si>
  <si>
    <t>C83 5G (4/64GB) BLOOMING PURPLE:REALME:MOBILE</t>
  </si>
  <si>
    <t>863074082653131</t>
  </si>
  <si>
    <t>MT/SRB/70</t>
  </si>
  <si>
    <t>15 5G (8/128GB) VELVET GREEN:REALME:MOBILE</t>
  </si>
  <si>
    <t>867624076357077</t>
  </si>
  <si>
    <t>MT/SRB/74</t>
  </si>
  <si>
    <t>C85 5G (6/128GB) PEACOCK GREEN:REALME:MOBILE</t>
  </si>
  <si>
    <t>869746084754397</t>
  </si>
  <si>
    <t>MT/SRB/100</t>
  </si>
  <si>
    <t>865616082447050</t>
  </si>
  <si>
    <t>MT/SRB/131</t>
  </si>
  <si>
    <t>C83 5G (6/128GB) SPROUTING GREEN:REALME:MOBILE</t>
  </si>
  <si>
    <t>866276083097617</t>
  </si>
  <si>
    <t>MT/SRB/148</t>
  </si>
  <si>
    <t>16 PRO 5G (8/256GB) PEBBLE GREY:REALME:MOBILE</t>
  </si>
  <si>
    <t>869883082901090</t>
  </si>
  <si>
    <t>MT/SRB/151</t>
  </si>
  <si>
    <t>866389080298656</t>
  </si>
  <si>
    <t>MT/SRB/161</t>
  </si>
  <si>
    <t>C85 5G (4/128GB) PEACOCK GREEN:REALME:MOBILE</t>
  </si>
  <si>
    <t>868038080198857</t>
  </si>
  <si>
    <t>MT/SRB/180</t>
  </si>
  <si>
    <t>866389080238751</t>
  </si>
  <si>
    <t>MT/SRB/229</t>
  </si>
  <si>
    <t>866276083063353</t>
  </si>
  <si>
    <t>MT/SRB/232</t>
  </si>
  <si>
    <t>15T 5G (8/256GB) SUIT TITANIUM:REALME:MOBILE</t>
  </si>
  <si>
    <t>868088085801252</t>
  </si>
  <si>
    <t>MT/SRB/235</t>
  </si>
  <si>
    <t>16 5G (8/256GB) AIR BLACK:REALME:MOBILE</t>
  </si>
  <si>
    <t>860602080233192</t>
  </si>
  <si>
    <t>MT/SRB/241</t>
  </si>
  <si>
    <t>C83 5G (4/128GB) SPROUTING GREEN:REALME:MOBILE(T.VALUE)</t>
  </si>
  <si>
    <t>860543080403973</t>
  </si>
  <si>
    <t>MT/SRB/255</t>
  </si>
  <si>
    <t>868038080196497</t>
  </si>
  <si>
    <t>MT/SRB/280</t>
  </si>
  <si>
    <t>C71 (4/64GB) SEA BLUE:REALME:MOBILE</t>
  </si>
  <si>
    <t>861950082237656</t>
  </si>
  <si>
    <t>MT/SRB/87</t>
  </si>
  <si>
    <t>POVA SLIM 5G (KM9-8/128GB) SKY BLUE:TECNO:MOBILE</t>
  </si>
  <si>
    <t>350984210941812</t>
  </si>
  <si>
    <t>MT/SRB/173</t>
  </si>
  <si>
    <t>864001088786457</t>
  </si>
  <si>
    <t>MT/SRB/98</t>
  </si>
  <si>
    <t>REDMI 15A 5G (4/64GB) AMAZE PURPLE:XIAOMI:MOBILE</t>
  </si>
  <si>
    <t>866938083833925</t>
  </si>
  <si>
    <t>MT/SRB/145</t>
  </si>
  <si>
    <t>REDMI A5 (3/64GB) JAISALMER GOLD:XIAOMI:MOBILE</t>
  </si>
  <si>
    <t>864902083050684</t>
  </si>
  <si>
    <t>2008-SAHILBHAI</t>
  </si>
  <si>
    <t>MT/SRB/31</t>
  </si>
  <si>
    <t>MOTO EDGE 60 FUSION (12/256GB) AMAZONITE:MOTOROLA:MOBILE</t>
  </si>
  <si>
    <t>357719196550317</t>
  </si>
  <si>
    <t>MT/SRB/121</t>
  </si>
  <si>
    <t>353324456584330</t>
  </si>
  <si>
    <t>MT/SRB/197</t>
  </si>
  <si>
    <t>354080687110415</t>
  </si>
  <si>
    <t>MT/SRB/220</t>
  </si>
  <si>
    <t>N130(M-DUALSIM) LIGHT-GOLD:NOKIA:MOBILE</t>
  </si>
  <si>
    <t>350866496964263</t>
  </si>
  <si>
    <t>MT/SRB/200</t>
  </si>
  <si>
    <t>A6 PRO 5G (8/256GB) CAPPUCCINO BROWN:OPPO:MOBILE</t>
  </si>
  <si>
    <t>866325087813816</t>
  </si>
  <si>
    <t>MT/SRB/258</t>
  </si>
  <si>
    <t>861950082236658</t>
  </si>
  <si>
    <t>MT/SRB/45</t>
  </si>
  <si>
    <t>A076BC(A07 5G-6/128GB) BLACK:SAMSUNG:MOBILE</t>
  </si>
  <si>
    <t>351699500755172</t>
  </si>
  <si>
    <t>MT/SRB/108</t>
  </si>
  <si>
    <t>351008510037375</t>
  </si>
  <si>
    <t>MT/SRB/282</t>
  </si>
  <si>
    <t>A066BG(A06 5G-4/128GB) LIGHT GREEN:SAMSUNG:MOBILE</t>
  </si>
  <si>
    <t>353285228414298</t>
  </si>
  <si>
    <t>MT/SRB/13</t>
  </si>
  <si>
    <t>Y31 5G (6/128GB) ROSE RED:VIVO:MOBILE</t>
  </si>
  <si>
    <t>861135081916787</t>
  </si>
  <si>
    <t>MT/SRB/23</t>
  </si>
  <si>
    <t>X200T (12/256GB) SEASIDE LILAC:VIVO:MOBILE</t>
  </si>
  <si>
    <t>862881089037139</t>
  </si>
  <si>
    <t>MT/SRB/130</t>
  </si>
  <si>
    <t>864155081166305</t>
  </si>
  <si>
    <t>MT/SRB/153</t>
  </si>
  <si>
    <t>864155084088779</t>
  </si>
  <si>
    <t>MT/SRB/168</t>
  </si>
  <si>
    <t>864155084089694</t>
  </si>
  <si>
    <t>MT/SRB/221</t>
  </si>
  <si>
    <t>V70 FE 5G (8/128GB) MONSOON BLUE:VIVO:MOBILE</t>
  </si>
  <si>
    <t>861130084278491</t>
  </si>
  <si>
    <t>MT/SRB/251</t>
  </si>
  <si>
    <t>864155083491412</t>
  </si>
  <si>
    <t>MT/SRB/270</t>
  </si>
  <si>
    <t>861130085926650</t>
  </si>
  <si>
    <t>2009 - SAHIL M.</t>
  </si>
  <si>
    <t>MT/SRB/184</t>
  </si>
  <si>
    <t>IT3010A KING SIGNAL ARMY GREEN:ITEL:MOBILE</t>
  </si>
  <si>
    <t>356911821690813</t>
  </si>
  <si>
    <t>MT/SRB/20</t>
  </si>
  <si>
    <t>862080084758779</t>
  </si>
  <si>
    <t>MT/SRB/21</t>
  </si>
  <si>
    <t>A6S 5G (6/128GB) PLUM PURPLE:OPPO:MOBILE</t>
  </si>
  <si>
    <t>867546089253995</t>
  </si>
  <si>
    <t>MT/SRB/4</t>
  </si>
  <si>
    <t>A6S 5G (4/128GB) PLUM PURPLE:OPPO:MOBILE</t>
  </si>
  <si>
    <t>867546086546474</t>
  </si>
  <si>
    <t>MT/SRB/71</t>
  </si>
  <si>
    <t>864052086757099</t>
  </si>
  <si>
    <t>MT/SRB/91</t>
  </si>
  <si>
    <t>A6 5G (6/256GB) SAPPHIRE BLUE:OPPO:MOBILE</t>
  </si>
  <si>
    <t>862869081031713</t>
  </si>
  <si>
    <t>MT/SRB/126</t>
  </si>
  <si>
    <t>A6X 5G (4/128GB) ICE BLUE:OPPO:MOBILE</t>
  </si>
  <si>
    <t>867932085999593</t>
  </si>
  <si>
    <t>MT/SRB/156</t>
  </si>
  <si>
    <t>A6X 5G (4/128GB) OLIVE GREEN:OPPO:MOBILE</t>
  </si>
  <si>
    <t>864784085434755</t>
  </si>
  <si>
    <t>MT/SRB/160</t>
  </si>
  <si>
    <t>862080084435790</t>
  </si>
  <si>
    <t>MT/SRB/185</t>
  </si>
  <si>
    <t>F31 PRO+ 5G (12/256GB) FESTIVAL PINK:OPPO:MOBILE</t>
  </si>
  <si>
    <t>866418081196294</t>
  </si>
  <si>
    <t>MT/SRB/193</t>
  </si>
  <si>
    <t>F31 5G (8/256GB) BLOOM RED:OPPO:MOBILE</t>
  </si>
  <si>
    <t>866048083495335</t>
  </si>
  <si>
    <t>MT/SRB/214</t>
  </si>
  <si>
    <t>864052086757115</t>
  </si>
  <si>
    <t>MT/SRB/237</t>
  </si>
  <si>
    <t>861143083293916</t>
  </si>
  <si>
    <t>MT/SRB/259</t>
  </si>
  <si>
    <t>A6X 5G (4/64GB) OLIVE GREEN:OPPO:MOBILE</t>
  </si>
  <si>
    <t>864639088283858</t>
  </si>
  <si>
    <t>MT/SRB/295</t>
  </si>
  <si>
    <t>865761076462994</t>
  </si>
  <si>
    <t>MT/SRB/92</t>
  </si>
  <si>
    <t>864001086250159</t>
  </si>
  <si>
    <t>2020 - FAIZAL</t>
  </si>
  <si>
    <t>MT/SRB/28</t>
  </si>
  <si>
    <t>MOTO EDGE 60 PRO (12/256GB) SHADOW:MOTOROLA:MOBILE</t>
  </si>
  <si>
    <t>355377544223335</t>
  </si>
  <si>
    <t>MT/SRB/209</t>
  </si>
  <si>
    <t>353324456442638</t>
  </si>
  <si>
    <t>MT/SRB/135</t>
  </si>
  <si>
    <t>357998630452856</t>
  </si>
  <si>
    <t>MT/SRB/165</t>
  </si>
  <si>
    <t>ONE PLUS 15 (16/512GB) SAND STORM:ONE PLUS:MOBILE</t>
  </si>
  <si>
    <t>869919082626913</t>
  </si>
  <si>
    <t>MT/SRB/9</t>
  </si>
  <si>
    <t>864784085494817</t>
  </si>
  <si>
    <t>MT/SRB/40</t>
  </si>
  <si>
    <t>A6 5G (6/128GB) SAPPHIRE BLUE:OPPO:MOBILE</t>
  </si>
  <si>
    <t>862869084740518</t>
  </si>
  <si>
    <t>MT/SRB/72</t>
  </si>
  <si>
    <t>862080082267278</t>
  </si>
  <si>
    <t>MT/SRB/257</t>
  </si>
  <si>
    <t>864052086754591</t>
  </si>
  <si>
    <t>MT/SRB/281</t>
  </si>
  <si>
    <t>866418081196559</t>
  </si>
  <si>
    <t>MT/SRB/97</t>
  </si>
  <si>
    <t>861595085756234</t>
  </si>
  <si>
    <t>MT/SRB/223</t>
  </si>
  <si>
    <t>863074083665951</t>
  </si>
  <si>
    <t>MT/SRB/256</t>
  </si>
  <si>
    <t>861950082236997</t>
  </si>
  <si>
    <t>MT/SRB/226</t>
  </si>
  <si>
    <t>E176BA(F17 5G-4/128GB) VIOLET POP:SAMSUNG:MOBILE</t>
  </si>
  <si>
    <t>350133667054600</t>
  </si>
  <si>
    <t>MT/SRB/44</t>
  </si>
  <si>
    <t>350984210942406</t>
  </si>
  <si>
    <t>MT/SRB/105</t>
  </si>
  <si>
    <t>350984210977071</t>
  </si>
  <si>
    <t>MT/SRB/75</t>
  </si>
  <si>
    <t>864001084350977</t>
  </si>
  <si>
    <t>MT/SRB/146</t>
  </si>
  <si>
    <t>866938083523781</t>
  </si>
  <si>
    <t>MT/SRB/213</t>
  </si>
  <si>
    <t>REDMI NOTE 15 PRO (8/256GB) CARBON BLACK:XIAOMI:MOBILE</t>
  </si>
  <si>
    <t>867608071079125</t>
  </si>
  <si>
    <t>2024-HITARTH GOSAI</t>
  </si>
  <si>
    <t>MT/SRB/22</t>
  </si>
  <si>
    <t>356911821691316</t>
  </si>
  <si>
    <t>MT/SRB/42</t>
  </si>
  <si>
    <t>353545922622359</t>
  </si>
  <si>
    <t>MT/SRB/56</t>
  </si>
  <si>
    <t>356231213519250</t>
  </si>
  <si>
    <t>MT/SRB/230</t>
  </si>
  <si>
    <t>353324456574117</t>
  </si>
  <si>
    <t>MT/SRB/3</t>
  </si>
  <si>
    <t>N130(M-DUALSIM) DARK-BLUE:NOKIA:MOBILE</t>
  </si>
  <si>
    <t>350866497430223</t>
  </si>
  <si>
    <t>MT/SRB/25</t>
  </si>
  <si>
    <t>A6 PRO 5G (8/128GB) CAPPUCCINO BROWN:OPPO:MOBILE</t>
  </si>
  <si>
    <t>867790081183475</t>
  </si>
  <si>
    <t>MT/SRB/289</t>
  </si>
  <si>
    <t>866418081131176</t>
  </si>
  <si>
    <t>MT/SRB/34</t>
  </si>
  <si>
    <t>866276083063411</t>
  </si>
  <si>
    <t>MT/SRB/48</t>
  </si>
  <si>
    <t>868088085352231</t>
  </si>
  <si>
    <t>MT/SRB/85</t>
  </si>
  <si>
    <t>868088085640098</t>
  </si>
  <si>
    <t>MT/SRB/118</t>
  </si>
  <si>
    <t>860602080246657</t>
  </si>
  <si>
    <t>MT/SRB/142</t>
  </si>
  <si>
    <t>866276083063213</t>
  </si>
  <si>
    <t>MT/SRB/167</t>
  </si>
  <si>
    <t>P4 LITE 5G (6/128GB) BLUE:REALME:MOBILE</t>
  </si>
  <si>
    <t>863872080758699</t>
  </si>
  <si>
    <t>MT/SRB/177</t>
  </si>
  <si>
    <t>860602080258850</t>
  </si>
  <si>
    <t>MT/SRB/206</t>
  </si>
  <si>
    <t>16 5G (8/256GB) AIR WHITE:REALME:MOBILE</t>
  </si>
  <si>
    <t>866389084012954</t>
  </si>
  <si>
    <t>MT/SRB/224</t>
  </si>
  <si>
    <t>866389084064831</t>
  </si>
  <si>
    <t>MT/SRB/245</t>
  </si>
  <si>
    <t>865420082568191</t>
  </si>
  <si>
    <t>MT/SRB/274</t>
  </si>
  <si>
    <t>C85 5G (6/128GB) PARROT PURPLE:REALME:MOBILE</t>
  </si>
  <si>
    <t>869746080869314</t>
  </si>
  <si>
    <t>MT/SRB/284</t>
  </si>
  <si>
    <t>860602080217377</t>
  </si>
  <si>
    <t>MT/SRB/297</t>
  </si>
  <si>
    <t>869883083843150</t>
  </si>
  <si>
    <t>MT/SRB/99</t>
  </si>
  <si>
    <t>A066BD(A06 5G-4/64GB) BLACK:SAMSUNG:MOBILE</t>
  </si>
  <si>
    <t>356668584924520</t>
  </si>
  <si>
    <t>MT/SRB/8</t>
  </si>
  <si>
    <t>350984210800661</t>
  </si>
  <si>
    <t>2025 - Jayesh katariya</t>
  </si>
  <si>
    <t>MT/SRB/111</t>
  </si>
  <si>
    <t>IT ACE 3 CITY BLUE:ITEL:MOBILE</t>
  </si>
  <si>
    <t>352672424950889</t>
  </si>
  <si>
    <t>MT/SRB/55</t>
  </si>
  <si>
    <t>356231213515852</t>
  </si>
  <si>
    <t>MT/SRB/243</t>
  </si>
  <si>
    <t>357998630126930</t>
  </si>
  <si>
    <t>MT/SRB/254</t>
  </si>
  <si>
    <t>13S 5G(12/512GB) BLACK VELVET:ONE PLUS:MOBILE</t>
  </si>
  <si>
    <t>860677074065891</t>
  </si>
  <si>
    <t>MT/SRB/67</t>
  </si>
  <si>
    <t>352822575205365</t>
  </si>
  <si>
    <t>MT/SRB/194</t>
  </si>
  <si>
    <t>POVA CURVE 2 5G (LK7K-8/128GB) MELTING SILVER:TECNO:MOBILE</t>
  </si>
  <si>
    <t>353243710647024</t>
  </si>
  <si>
    <t>MT/SRB/5</t>
  </si>
  <si>
    <t>V60E 5G (8/256GB) ELITE PURPLE:VIVO:MOBILE</t>
  </si>
  <si>
    <t>865426087285590</t>
  </si>
  <si>
    <t>MT/SRB/24</t>
  </si>
  <si>
    <t>868237073211582</t>
  </si>
  <si>
    <t>MT/SRB/35</t>
  </si>
  <si>
    <t>Y400 5G (8/256GB) OLIVE GREEN:VIVO:MOBILE</t>
  </si>
  <si>
    <t>861570071272371</t>
  </si>
  <si>
    <t>MT/SRB/89</t>
  </si>
  <si>
    <t>Y51 PRO 5G (8/256GB) FESTIVE RED:VIVO:MOBILE</t>
  </si>
  <si>
    <t>864155087968472</t>
  </si>
  <si>
    <t>MT/SRB/93</t>
  </si>
  <si>
    <t>Y400 PRO (8/128GB) NEMBULA PURPLE:VIVO:MOBILE</t>
  </si>
  <si>
    <t>863397070270570</t>
  </si>
  <si>
    <t>MT/SRB/122</t>
  </si>
  <si>
    <t>V60 5G (8/128GB) MIST GRAY:VIVO:MOBILE</t>
  </si>
  <si>
    <t>860668089748159</t>
  </si>
  <si>
    <t>MT/SRB/149</t>
  </si>
  <si>
    <t>X300 5G (12/256GB) ELITE BLACK:VIVO:MOBILE</t>
  </si>
  <si>
    <t>867203082232333</t>
  </si>
  <si>
    <t>MT/SRB/150</t>
  </si>
  <si>
    <t>Y400 5G (8/256GB) GLAM WHITE:VIVO:MOBILE</t>
  </si>
  <si>
    <t>868666078412391</t>
  </si>
  <si>
    <t>MT/SRB/190</t>
  </si>
  <si>
    <t>868237071222029</t>
  </si>
  <si>
    <t>MT/SRB/201</t>
  </si>
  <si>
    <t>Y21 5G (4/128GB) CHAMPANGE GOLD:VIVO:MOBILE</t>
  </si>
  <si>
    <t>869636088360251</t>
  </si>
  <si>
    <t>MT/SRB/216</t>
  </si>
  <si>
    <t>861130087405414</t>
  </si>
  <si>
    <t>MT/SRB/269</t>
  </si>
  <si>
    <t>866592087449855</t>
  </si>
  <si>
    <t>MT/SRB/275</t>
  </si>
  <si>
    <t>861636080802597</t>
  </si>
  <si>
    <t>MT/SRB/170</t>
  </si>
  <si>
    <t>866938083097349</t>
  </si>
  <si>
    <t>2026 - ATIK</t>
  </si>
  <si>
    <t>MT/SRB/264</t>
  </si>
  <si>
    <t>355024343669512</t>
  </si>
  <si>
    <t>MT/SRB/141</t>
  </si>
  <si>
    <t>K14X 5G (4/128GB) PRISM VIOLET:OPPO:MOBILE</t>
  </si>
  <si>
    <t>862790085110818</t>
  </si>
  <si>
    <t>MT/SRB/16</t>
  </si>
  <si>
    <t>M566BA(M56 5G-8/128GB) BLACK:SAMSUNG:MOBILE</t>
  </si>
  <si>
    <t>352572130556386</t>
  </si>
  <si>
    <t>MT/SRB/27</t>
  </si>
  <si>
    <t>S948BB(S26 ULTRA-12/256GB) BLACK:SAMSUNG:MOBILE</t>
  </si>
  <si>
    <t>358780490606113</t>
  </si>
  <si>
    <t>MT/SRB/39</t>
  </si>
  <si>
    <t>350037990082859</t>
  </si>
  <si>
    <t>MT/SRB/52</t>
  </si>
  <si>
    <t>350133665609835</t>
  </si>
  <si>
    <t>MT/SRB/58</t>
  </si>
  <si>
    <t>A076BB(A07 5G-4/128GB) LIGHT VIOLET:SAMSUNG:MOBILE</t>
  </si>
  <si>
    <t>359695531145211</t>
  </si>
  <si>
    <t>MT/SRB/77</t>
  </si>
  <si>
    <t>E176BB(F17 5G-6/128GB) VIOLET POP:SAMSUNG:MOBILE</t>
  </si>
  <si>
    <t>352822575163762</t>
  </si>
  <si>
    <t>MT/SRB/169</t>
  </si>
  <si>
    <t>A066BD(A06 5G-4/64GB) LIGHT GRAY:SAMSUNG:MOBILE</t>
  </si>
  <si>
    <t>356668588251946</t>
  </si>
  <si>
    <t>MT/SRB/187</t>
  </si>
  <si>
    <t>350037990082396</t>
  </si>
  <si>
    <t>MT/SRB/204</t>
  </si>
  <si>
    <t>F966BD(FOLD 7-12/256GB) SLIVER SHADOW:SAMSUNG:MOBILE</t>
  </si>
  <si>
    <t>353500151329671</t>
  </si>
  <si>
    <t>MT/SRB/227</t>
  </si>
  <si>
    <t>E176BD(F17 5G-8/128GB) NEO BLACK:SAMSUNG:MOBILE</t>
  </si>
  <si>
    <t>353726331546542</t>
  </si>
  <si>
    <t>MT/SRB/247</t>
  </si>
  <si>
    <t>350037990376111</t>
  </si>
  <si>
    <t>MT/SRB/271</t>
  </si>
  <si>
    <t>356668588249148</t>
  </si>
  <si>
    <t>MT/SRB/272</t>
  </si>
  <si>
    <t>356668588248512</t>
  </si>
  <si>
    <t>MT/SRB/298</t>
  </si>
  <si>
    <t>A266BK(A26 5G-8/128GB) BLACK:SAMSUNG:MOBILE</t>
  </si>
  <si>
    <t>353201664041909</t>
  </si>
  <si>
    <t>MT/SRB/261</t>
  </si>
  <si>
    <t>350984210956844</t>
  </si>
  <si>
    <t>26 - TINABEN</t>
  </si>
  <si>
    <t>MT/ACB/94</t>
  </si>
  <si>
    <t>IPHONE 17 PRO MAX(256GB) DEEP BLUE:APPLE:MOBILE</t>
  </si>
  <si>
    <t>356973395613100</t>
  </si>
  <si>
    <t>MT/ACB/671</t>
  </si>
  <si>
    <t>356342310750969</t>
  </si>
  <si>
    <t>MT/ACB/587</t>
  </si>
  <si>
    <t>356944975360990</t>
  </si>
  <si>
    <t>MT/ACB/699</t>
  </si>
  <si>
    <t>ONE PLUS 15R (12/256GB) CHARCOAL BLACK:ONE PLUS:MOBILE</t>
  </si>
  <si>
    <t>862329083751438</t>
  </si>
  <si>
    <t>MT/ACB/63</t>
  </si>
  <si>
    <t>F31 PRO+ 5G (8/256GB) GEMSTONE BLUE:OPPO:MOBILE</t>
  </si>
  <si>
    <t>866418086200737</t>
  </si>
  <si>
    <t>MT/ACB/108</t>
  </si>
  <si>
    <t>862080084971315</t>
  </si>
  <si>
    <t>MT/ACB/111</t>
  </si>
  <si>
    <t>A5 5G (8/128GB) MIST WHITE:OPPO:MOBILE</t>
  </si>
  <si>
    <t>868535075923470</t>
  </si>
  <si>
    <t>MT/ACB/114</t>
  </si>
  <si>
    <t>RENO 15 5G (8/256GB) AURORA BLUE:OPPO:MOBILE</t>
  </si>
  <si>
    <t>865806085804072</t>
  </si>
  <si>
    <t>MT/ACB/420</t>
  </si>
  <si>
    <t>864052086242514</t>
  </si>
  <si>
    <t>MT/ACB/589</t>
  </si>
  <si>
    <t>869556083437997</t>
  </si>
  <si>
    <t>MT/ACB/620</t>
  </si>
  <si>
    <t>863651072376433</t>
  </si>
  <si>
    <t>MT/ACB/621</t>
  </si>
  <si>
    <t>863651070509431</t>
  </si>
  <si>
    <t>MT/ACB/234</t>
  </si>
  <si>
    <t>861950081553038</t>
  </si>
  <si>
    <t>MT/ACB/349</t>
  </si>
  <si>
    <t>866389084191477</t>
  </si>
  <si>
    <t>MT/ACB/390</t>
  </si>
  <si>
    <t>14 PRO+ (8/128GB) BIKANER PURPLE:REALME:MOBILE</t>
  </si>
  <si>
    <t>866751076102178</t>
  </si>
  <si>
    <t>MT/ACB/434</t>
  </si>
  <si>
    <t>C83 5G (4/128GB) BLOOMING PURPLE:REALME:MOBILE</t>
  </si>
  <si>
    <t>866276084953990</t>
  </si>
  <si>
    <t>MT/ACB/654</t>
  </si>
  <si>
    <t>860543080997651</t>
  </si>
  <si>
    <t>MT/ACB/30</t>
  </si>
  <si>
    <t>355299983457077</t>
  </si>
  <si>
    <t>MT/ACB/84</t>
  </si>
  <si>
    <t>355299981541187</t>
  </si>
  <si>
    <t>MT/ACB/179</t>
  </si>
  <si>
    <t>350037990384602</t>
  </si>
  <si>
    <t>MT/ACB/666</t>
  </si>
  <si>
    <t>358780491181249</t>
  </si>
  <si>
    <t>27 - Hardik Parmar</t>
  </si>
  <si>
    <t>MT/ACB/154</t>
  </si>
  <si>
    <t>IPHONE 17(256GB) SAGE:APPLE:MOBILE</t>
  </si>
  <si>
    <t>357998423740749</t>
  </si>
  <si>
    <t>MT/ACB/716</t>
  </si>
  <si>
    <t>350222809520782</t>
  </si>
  <si>
    <t>MT/ACB/677</t>
  </si>
  <si>
    <t>SMART 10 (4/64GB) SLEEK BLACK:INFINIX:MOBILE</t>
  </si>
  <si>
    <t>356821920402558</t>
  </si>
  <si>
    <t>MT/ACB/206</t>
  </si>
  <si>
    <t>357279952196656</t>
  </si>
  <si>
    <t>MT/ACB/281</t>
  </si>
  <si>
    <t>358557214785955</t>
  </si>
  <si>
    <t>MT/ACB/337</t>
  </si>
  <si>
    <t>351587387829691</t>
  </si>
  <si>
    <t>MT/ACB/359</t>
  </si>
  <si>
    <t>358557214565597</t>
  </si>
  <si>
    <t>MT/ACB/436</t>
  </si>
  <si>
    <t>358557219909972</t>
  </si>
  <si>
    <t>MT/ACB/584</t>
  </si>
  <si>
    <t>357998630153751</t>
  </si>
  <si>
    <t>MT/ACB/632</t>
  </si>
  <si>
    <t>PHONE 4A PRO (12/256GB) SILVER:NOTHING:MOBILE</t>
  </si>
  <si>
    <t>357998630974776</t>
  </si>
  <si>
    <t>MT/ACB/72</t>
  </si>
  <si>
    <t>863995079247190</t>
  </si>
  <si>
    <t>MT/ACB/191</t>
  </si>
  <si>
    <t>869066074615916</t>
  </si>
  <si>
    <t>MT/ACB/242</t>
  </si>
  <si>
    <t>869066074632531</t>
  </si>
  <si>
    <t>MT/ACB/331</t>
  </si>
  <si>
    <t>869066074632572</t>
  </si>
  <si>
    <t>MT/ACB/442</t>
  </si>
  <si>
    <t>NORD 5 (12/256GB) PHANTOM GREY:ONE PLUS:MOBILE</t>
  </si>
  <si>
    <t>869066073300536</t>
  </si>
  <si>
    <t>MT/ACB/458</t>
  </si>
  <si>
    <t>869066074616831</t>
  </si>
  <si>
    <t>MT/ACB/467</t>
  </si>
  <si>
    <t>869066074572596</t>
  </si>
  <si>
    <t>MT/ACB/701</t>
  </si>
  <si>
    <t>13S 5G(12/256GB) PINK SATIN:ONE PLUS:MOBILE</t>
  </si>
  <si>
    <t>860677074401831</t>
  </si>
  <si>
    <t>MT/ACB/98</t>
  </si>
  <si>
    <t>864784086154451</t>
  </si>
  <si>
    <t>MT/ACB/257</t>
  </si>
  <si>
    <t>862080084403350</t>
  </si>
  <si>
    <t>MT/ACB/687</t>
  </si>
  <si>
    <t>862869082416871</t>
  </si>
  <si>
    <t>MT/ACB/47</t>
  </si>
  <si>
    <t>352822575645891</t>
  </si>
  <si>
    <t>MT/ACB/89</t>
  </si>
  <si>
    <t>359695532607052</t>
  </si>
  <si>
    <t>MT/ACB/226</t>
  </si>
  <si>
    <t>350133663928419</t>
  </si>
  <si>
    <t>MT/ACB/256</t>
  </si>
  <si>
    <t>355299983239327</t>
  </si>
  <si>
    <t>MT/ACB/625</t>
  </si>
  <si>
    <t>354372910501266</t>
  </si>
  <si>
    <t>MT/ACB/41</t>
  </si>
  <si>
    <t>869636086066637</t>
  </si>
  <si>
    <t>MT/ACB/295</t>
  </si>
  <si>
    <t>Y11 5G (4/128GB) MIDNIGHT BLUE:VIVO:MOBILE</t>
  </si>
  <si>
    <t>864001085095514</t>
  </si>
  <si>
    <t>MT/ACB/345</t>
  </si>
  <si>
    <t>864001085624859</t>
  </si>
  <si>
    <t>MT/ACB/347</t>
  </si>
  <si>
    <t>864001085096215</t>
  </si>
  <si>
    <t>MT/ACB/461</t>
  </si>
  <si>
    <t>864001086032698</t>
  </si>
  <si>
    <t>MT/ACB/407</t>
  </si>
  <si>
    <t>868495077623422</t>
  </si>
  <si>
    <t>3 - Tanmay Lathiya</t>
  </si>
  <si>
    <t>MT/ACB/97</t>
  </si>
  <si>
    <t>359006539714695</t>
  </si>
  <si>
    <t>MT/ACB/205</t>
  </si>
  <si>
    <t>356944974358532</t>
  </si>
  <si>
    <t>MT/ACB/227</t>
  </si>
  <si>
    <t>358557219909899</t>
  </si>
  <si>
    <t>MT/ACB/232</t>
  </si>
  <si>
    <t>357279952199577</t>
  </si>
  <si>
    <t>MT/ACB/239</t>
  </si>
  <si>
    <t>357355572909775</t>
  </si>
  <si>
    <t>MT/ACB/300</t>
  </si>
  <si>
    <t>357355572909650</t>
  </si>
  <si>
    <t>357355572918537</t>
  </si>
  <si>
    <t>MT/ACB/595</t>
  </si>
  <si>
    <t>355062882112759</t>
  </si>
  <si>
    <t>MT/ACB/594</t>
  </si>
  <si>
    <t>P4X 5G (8/256GB) SILVER:REALME:MOBILE</t>
  </si>
  <si>
    <t>861595085296215</t>
  </si>
  <si>
    <t>MT/ACB/56</t>
  </si>
  <si>
    <t>354372910216816</t>
  </si>
  <si>
    <t>MT/ACB/60</t>
  </si>
  <si>
    <t>350133666998914</t>
  </si>
  <si>
    <t>MT/ACB/61</t>
  </si>
  <si>
    <t>350133667054535</t>
  </si>
  <si>
    <t>MT/ACB/112</t>
  </si>
  <si>
    <t>351699501346898</t>
  </si>
  <si>
    <t>MT/ACB/79</t>
  </si>
  <si>
    <t>351008510189523</t>
  </si>
  <si>
    <t>MT/ACB/81</t>
  </si>
  <si>
    <t>359695532610270</t>
  </si>
  <si>
    <t>MT/ACB/96</t>
  </si>
  <si>
    <t>350037990383323</t>
  </si>
  <si>
    <t>MT/ACB/157</t>
  </si>
  <si>
    <t>350037991459668</t>
  </si>
  <si>
    <t>MT/ACB/165</t>
  </si>
  <si>
    <t>358780490442246</t>
  </si>
  <si>
    <t>MT/ACB/287</t>
  </si>
  <si>
    <t>S948BC(S26 ULTRA-12/512GB) PINK GOLD:SAMSUNG:MOBILE(T.VALUE)</t>
  </si>
  <si>
    <t>352425611585376</t>
  </si>
  <si>
    <t>MT/ACB/333</t>
  </si>
  <si>
    <t>350037990384479</t>
  </si>
  <si>
    <t>MT/ACB/350</t>
  </si>
  <si>
    <t>350037990384453</t>
  </si>
  <si>
    <t>MT/ACB/361</t>
  </si>
  <si>
    <t>350133667034412</t>
  </si>
  <si>
    <t>MT/ACB/372</t>
  </si>
  <si>
    <t>355299982850421</t>
  </si>
  <si>
    <t>MT/ACB/432</t>
  </si>
  <si>
    <t>350037990384461</t>
  </si>
  <si>
    <t>MT/ACB/443</t>
  </si>
  <si>
    <t>352425611022917</t>
  </si>
  <si>
    <t>MT/ACB/452</t>
  </si>
  <si>
    <t>A376EG(A37 5G-8/256GB) CHARCOAL:SAMSUNG:MOBILE</t>
  </si>
  <si>
    <t>353525200130663</t>
  </si>
  <si>
    <t>MT/ACB/459</t>
  </si>
  <si>
    <t>A576BF(A57 5G-8/256GB) ICY BLUE:SAMSUNG:MOBILE</t>
  </si>
  <si>
    <t>351791520467712</t>
  </si>
  <si>
    <t>MT/ACB/519</t>
  </si>
  <si>
    <t>359695532607151</t>
  </si>
  <si>
    <t>MT/ACB/524</t>
  </si>
  <si>
    <t>350037991453190</t>
  </si>
  <si>
    <t>MT/ACB/528</t>
  </si>
  <si>
    <t>350037991519545</t>
  </si>
  <si>
    <t>MT/ACB/568</t>
  </si>
  <si>
    <t>355299981317331</t>
  </si>
  <si>
    <t>MT/ACB/596</t>
  </si>
  <si>
    <t>355299982616483</t>
  </si>
  <si>
    <t>MT/ACB/600</t>
  </si>
  <si>
    <t>357178227534735</t>
  </si>
  <si>
    <t>MT/ACB/610</t>
  </si>
  <si>
    <t>355299983239483</t>
  </si>
  <si>
    <t>MT/ACB/618</t>
  </si>
  <si>
    <t>353500151327832</t>
  </si>
  <si>
    <t>MT/ACB/640</t>
  </si>
  <si>
    <t>350133667052703</t>
  </si>
  <si>
    <t>MT/ACB/690</t>
  </si>
  <si>
    <t>356276611528650</t>
  </si>
  <si>
    <t>MT/ACB/705</t>
  </si>
  <si>
    <t>355299983391854</t>
  </si>
  <si>
    <t>MT/ACB/482</t>
  </si>
  <si>
    <t>866938081342283</t>
  </si>
  <si>
    <t>30-DHRUV ODEDRA</t>
  </si>
  <si>
    <t>MT/GDRB/236</t>
  </si>
  <si>
    <t>IPHONE 17(256GB) BLACK:APPLE:MOBILE</t>
  </si>
  <si>
    <t>354774862267178</t>
  </si>
  <si>
    <t>MT/GDRB/195</t>
  </si>
  <si>
    <t>IT5095 MUZIK 450 DEEP BLUE:ITEL:MOBILE</t>
  </si>
  <si>
    <t>357157840352329</t>
  </si>
  <si>
    <t>MT/GDRB/79</t>
  </si>
  <si>
    <t>354080687114938</t>
  </si>
  <si>
    <t>MT/GDRB/80</t>
  </si>
  <si>
    <t>MOTO G35 (4/128GB) GUAVA RED:MOTOROLA:MOBILE</t>
  </si>
  <si>
    <t>358557217650917</t>
  </si>
  <si>
    <t>MT/GDRB/30</t>
  </si>
  <si>
    <t>351813215456584</t>
  </si>
  <si>
    <t>MT/GDRB/95</t>
  </si>
  <si>
    <t>350866496966508</t>
  </si>
  <si>
    <t>350866496967167</t>
  </si>
  <si>
    <t>N130(M-DUALSIM) PURPLE:NOKIA:MOBILE</t>
  </si>
  <si>
    <t>350196730067644</t>
  </si>
  <si>
    <t>MT/GDRB/121</t>
  </si>
  <si>
    <t>355295347975580</t>
  </si>
  <si>
    <t>MT/GDRB/317</t>
  </si>
  <si>
    <t>K14 5G (6/128GB) ICY BLUE:OPPO:MOBILE</t>
  </si>
  <si>
    <t>860399083241336</t>
  </si>
  <si>
    <t>MT/GDRB/69</t>
  </si>
  <si>
    <t>864960082309360</t>
  </si>
  <si>
    <t>MT/GDRB/71</t>
  </si>
  <si>
    <t>864960082558248</t>
  </si>
  <si>
    <t>MT/GDRB/155</t>
  </si>
  <si>
    <t>864960082354820</t>
  </si>
  <si>
    <t>MT/GDRB/261</t>
  </si>
  <si>
    <t>864960082424128</t>
  </si>
  <si>
    <t>MT/GDRB/183</t>
  </si>
  <si>
    <t>15X 5G (6/128GB) MARINE BLUE:REALME:MOBILE</t>
  </si>
  <si>
    <t>869232083211374</t>
  </si>
  <si>
    <t>MT/GDRB/245</t>
  </si>
  <si>
    <t>863074081062334</t>
  </si>
  <si>
    <t>MT/GDRB/275</t>
  </si>
  <si>
    <t>863074081046139</t>
  </si>
  <si>
    <t>MT/GDRB/290</t>
  </si>
  <si>
    <t>865420081321493</t>
  </si>
  <si>
    <t>MT/GDRB/305</t>
  </si>
  <si>
    <t>866389084214931</t>
  </si>
  <si>
    <t>MT/GDRB/128</t>
  </si>
  <si>
    <t>359695532607086</t>
  </si>
  <si>
    <t>MT/GDRB/19</t>
  </si>
  <si>
    <t>864001089498979</t>
  </si>
  <si>
    <t>MT/GDRB/164</t>
  </si>
  <si>
    <t>868495074568729</t>
  </si>
  <si>
    <t>MT/GDRB/342</t>
  </si>
  <si>
    <t>866938083043624</t>
  </si>
  <si>
    <t>32 - NIDHI MAKWANA</t>
  </si>
  <si>
    <t>MT/ACB/106</t>
  </si>
  <si>
    <t>353324456620118</t>
  </si>
  <si>
    <t>MT/ACB/603</t>
  </si>
  <si>
    <t>356231213510994</t>
  </si>
  <si>
    <t>MT/ACB/661</t>
  </si>
  <si>
    <t>356231213524979</t>
  </si>
  <si>
    <t>MT/ACB/694</t>
  </si>
  <si>
    <t>355295347975747</t>
  </si>
  <si>
    <t>MT/ACB/484</t>
  </si>
  <si>
    <t>863995074517712</t>
  </si>
  <si>
    <t>MT/ACB/504</t>
  </si>
  <si>
    <t>869066074631293</t>
  </si>
  <si>
    <t>MT/ACB/274</t>
  </si>
  <si>
    <t>866389084223718</t>
  </si>
  <si>
    <t>MT/ACB/619</t>
  </si>
  <si>
    <t>A376ED(A37 5G-8/128GB) LAVENDER:SAMSUNG:MOBILE</t>
  </si>
  <si>
    <t>351008510488867</t>
  </si>
  <si>
    <t>MT/ACB/32</t>
  </si>
  <si>
    <t>861636081255431</t>
  </si>
  <si>
    <t>MT/ACB/66</t>
  </si>
  <si>
    <t>864001086628214</t>
  </si>
  <si>
    <t>MT/ACB/74</t>
  </si>
  <si>
    <t>V70 5G (8/256GB) LEMON YELLOW:VIVO:MOBILE</t>
  </si>
  <si>
    <t>861636081026196</t>
  </si>
  <si>
    <t>MT/ACB/141</t>
  </si>
  <si>
    <t>866150080133388</t>
  </si>
  <si>
    <t>MT/ACB/189</t>
  </si>
  <si>
    <t>X200T (12/256GB) STELLAR BLACK:VIVO:MOBILE</t>
  </si>
  <si>
    <t>862881088866470</t>
  </si>
  <si>
    <t>MT/ACB/244</t>
  </si>
  <si>
    <t>864001089502317</t>
  </si>
  <si>
    <t>MT/ACB/249</t>
  </si>
  <si>
    <t>861636081255357</t>
  </si>
  <si>
    <t>MT/ACB/269</t>
  </si>
  <si>
    <t>864001085068099</t>
  </si>
  <si>
    <t>MT/ACB/275</t>
  </si>
  <si>
    <t>864001084561490</t>
  </si>
  <si>
    <t>MT/ACB/309</t>
  </si>
  <si>
    <t>V70 5G (12/256GB) LEMON YELLOW:VIVO:MOBILE</t>
  </si>
  <si>
    <t>861636084561538</t>
  </si>
  <si>
    <t>MT/ACB/319</t>
  </si>
  <si>
    <t>864155081190883</t>
  </si>
  <si>
    <t>MT/ACB/367</t>
  </si>
  <si>
    <t>864001083946635</t>
  </si>
  <si>
    <t>MT/ACB/382</t>
  </si>
  <si>
    <t>V70 ELITE 5G (12/512GB) AUTHENTIC BLACK:VIVO:MOBILE</t>
  </si>
  <si>
    <t>864253087929436</t>
  </si>
  <si>
    <t>MT/ACB/454</t>
  </si>
  <si>
    <t>X300 5G (12/256GB) MIST BLUE:VIVO:MOBILE</t>
  </si>
  <si>
    <t>867203082025414</t>
  </si>
  <si>
    <t>MT/ACB/472</t>
  </si>
  <si>
    <t>861636081094079</t>
  </si>
  <si>
    <t>MT/ACB/537</t>
  </si>
  <si>
    <t>861130087517754</t>
  </si>
  <si>
    <t>MT/ACB/546</t>
  </si>
  <si>
    <t>861130088298131</t>
  </si>
  <si>
    <t>MT/ACB/554</t>
  </si>
  <si>
    <t>864890071736838</t>
  </si>
  <si>
    <t>MT/ACB/588</t>
  </si>
  <si>
    <t>861636080799991</t>
  </si>
  <si>
    <t>MT/ACB/627</t>
  </si>
  <si>
    <t>861130087522614</t>
  </si>
  <si>
    <t>MT/ACB/664</t>
  </si>
  <si>
    <t>861570071382691</t>
  </si>
  <si>
    <t>MT/ACB/686</t>
  </si>
  <si>
    <t>864001083532377</t>
  </si>
  <si>
    <t>34 - AVESH</t>
  </si>
  <si>
    <t>MT/ACB/414</t>
  </si>
  <si>
    <t>355024343668431</t>
  </si>
  <si>
    <t>MT/ACB/113</t>
  </si>
  <si>
    <t>ONE PLUS 15R (12/256GB) MINT BREEZE:ONE PLUS:MOBILE</t>
  </si>
  <si>
    <t>862329083970038</t>
  </si>
  <si>
    <t>MT/ACB/31</t>
  </si>
  <si>
    <t>869883083659598</t>
  </si>
  <si>
    <t>MT/ACB/40</t>
  </si>
  <si>
    <t>16 PRO+ 5G (8/256GB) MASTER GREY:REALME:MOBILE</t>
  </si>
  <si>
    <t>865616081909795</t>
  </si>
  <si>
    <t>MT/ACB/271</t>
  </si>
  <si>
    <t>866389084227396</t>
  </si>
  <si>
    <t>MT/ACB/282</t>
  </si>
  <si>
    <t>16 5G (12/256GB) AIR BLACK:REALME:MOBILE</t>
  </si>
  <si>
    <t>866389083464875</t>
  </si>
  <si>
    <t>MT/ACB/291</t>
  </si>
  <si>
    <t>860543080982174</t>
  </si>
  <si>
    <t>MT/ACB/320</t>
  </si>
  <si>
    <t>866389084144278</t>
  </si>
  <si>
    <t>MT/ACB/339</t>
  </si>
  <si>
    <t>866389084208677</t>
  </si>
  <si>
    <t>MT/ACB/351</t>
  </si>
  <si>
    <t>860543080403155</t>
  </si>
  <si>
    <t>MT/ACB/381</t>
  </si>
  <si>
    <t>866389084208693</t>
  </si>
  <si>
    <t>MT/ACB/393</t>
  </si>
  <si>
    <t>866389080256738</t>
  </si>
  <si>
    <t>MT/ACB/394</t>
  </si>
  <si>
    <t>866389084193770</t>
  </si>
  <si>
    <t>MT/ACB/409</t>
  </si>
  <si>
    <t>866389080249279</t>
  </si>
  <si>
    <t>MT/ACB/411</t>
  </si>
  <si>
    <t>860602080266838</t>
  </si>
  <si>
    <t>MT/ACB/419</t>
  </si>
  <si>
    <t>866389080249311</t>
  </si>
  <si>
    <t>MT/ACB/422</t>
  </si>
  <si>
    <t>866389084178938</t>
  </si>
  <si>
    <t>MT/ACB/450</t>
  </si>
  <si>
    <t>866389083465351</t>
  </si>
  <si>
    <t>MT/ACB/475</t>
  </si>
  <si>
    <t>16 5G (8/128GB) AIR BLACK:REALME:MOBILE</t>
  </si>
  <si>
    <t>866389080081151</t>
  </si>
  <si>
    <t>MT/ACB/476</t>
  </si>
  <si>
    <t>866389084193754</t>
  </si>
  <si>
    <t>MT/ACB/493</t>
  </si>
  <si>
    <t>865616081909696</t>
  </si>
  <si>
    <t>MT/ACB/547</t>
  </si>
  <si>
    <t>866389084208578</t>
  </si>
  <si>
    <t>MT/ACB/614</t>
  </si>
  <si>
    <t>866389080128036</t>
  </si>
  <si>
    <t>MT/ACB/630</t>
  </si>
  <si>
    <t>866389084161652</t>
  </si>
  <si>
    <t>MT/ACB/631</t>
  </si>
  <si>
    <t>866389083130096</t>
  </si>
  <si>
    <t>MT/ACB/656</t>
  </si>
  <si>
    <t>866389084162239</t>
  </si>
  <si>
    <t>MT/ACB/680</t>
  </si>
  <si>
    <t>866389080143654</t>
  </si>
  <si>
    <t>MT/ACB/714</t>
  </si>
  <si>
    <t>866389084118835</t>
  </si>
  <si>
    <t>MT/ACB/717</t>
  </si>
  <si>
    <t>866389084227438</t>
  </si>
  <si>
    <t>MT/ACB/721</t>
  </si>
  <si>
    <t>866389084208479</t>
  </si>
  <si>
    <t>MT/ACB/722</t>
  </si>
  <si>
    <t>866389084192830</t>
  </si>
  <si>
    <t>MT/ACB/738</t>
  </si>
  <si>
    <t>866389083464339</t>
  </si>
  <si>
    <t>MT/ACB/292</t>
  </si>
  <si>
    <t>REDMI 15C 5G (4/128GB) DUSK PURPLE:XIAOMI:MOBILE</t>
  </si>
  <si>
    <t>862554079987064</t>
  </si>
  <si>
    <t>4 - MOIN SHAHMADAR</t>
  </si>
  <si>
    <t>MT/ACB/634</t>
  </si>
  <si>
    <t>IT5262 A1 BLUE:ITEL:MOBILE</t>
  </si>
  <si>
    <t>358643194680349</t>
  </si>
  <si>
    <t>MT/ACB/652</t>
  </si>
  <si>
    <t>IT5262 A1 GREEN:ITEL:MOBILE</t>
  </si>
  <si>
    <t>357719860834690</t>
  </si>
  <si>
    <t>MT/ACB/193</t>
  </si>
  <si>
    <t>359006539721674</t>
  </si>
  <si>
    <t>MT/ACB/289</t>
  </si>
  <si>
    <t>356231213511133</t>
  </si>
  <si>
    <t>MT/ACB/290</t>
  </si>
  <si>
    <t>353324456621579</t>
  </si>
  <si>
    <t>MT/ACB/387</t>
  </si>
  <si>
    <t>MOTO EDGE 60 FUSION (8/128GB) MYKONOS BLUE:MOTOROLA:MOBILE</t>
  </si>
  <si>
    <t>354845693382814</t>
  </si>
  <si>
    <t>MT/ACB/667</t>
  </si>
  <si>
    <t>MOTO EDGE 60 FUSION (12/256GB) ZEPHYR:MOTOROLA:MOBILE</t>
  </si>
  <si>
    <t>354845694150939</t>
  </si>
  <si>
    <t>MT/ACB/708</t>
  </si>
  <si>
    <t>357279952982758</t>
  </si>
  <si>
    <t>MT/ACB/735</t>
  </si>
  <si>
    <t>356231213525174</t>
  </si>
  <si>
    <t>MT/ACB/273</t>
  </si>
  <si>
    <t>350866499017242</t>
  </si>
  <si>
    <t>MT/ACB/368</t>
  </si>
  <si>
    <t>350866498941764</t>
  </si>
  <si>
    <t>MT/ACB/408</t>
  </si>
  <si>
    <t>HMD-105(DUALSIM-4G-TA-1657) BLACK:NOKIA:MOBILE</t>
  </si>
  <si>
    <t>359926421662902</t>
  </si>
  <si>
    <t>MT/ACB/565</t>
  </si>
  <si>
    <t>359926421678338</t>
  </si>
  <si>
    <t>MT/ACB/194</t>
  </si>
  <si>
    <t>A6 5G (4/128GB) SAPPHIRE BLUE:OPPO:MOBILE</t>
  </si>
  <si>
    <t>862869081514379</t>
  </si>
  <si>
    <t>MT/ACB/46</t>
  </si>
  <si>
    <t>C83 5G (6/128GB) BLOOMING PURPLE:REALME:MOBILE</t>
  </si>
  <si>
    <t>866276081585670</t>
  </si>
  <si>
    <t>MT/ACB/77</t>
  </si>
  <si>
    <t>860223074707594</t>
  </si>
  <si>
    <t>MT/ACB/115</t>
  </si>
  <si>
    <t>867624076477990</t>
  </si>
  <si>
    <t>MT/ACB/323</t>
  </si>
  <si>
    <t>866389084118777</t>
  </si>
  <si>
    <t>MT/ACB/336</t>
  </si>
  <si>
    <t>866389081259814</t>
  </si>
  <si>
    <t>MT/ACB/355</t>
  </si>
  <si>
    <t>866389080249477</t>
  </si>
  <si>
    <t>MT/ACB/384</t>
  </si>
  <si>
    <t>866389080291099</t>
  </si>
  <si>
    <t>MT/ACB/395</t>
  </si>
  <si>
    <t>866389080293590</t>
  </si>
  <si>
    <t>MT/ACB/397</t>
  </si>
  <si>
    <t>866389083160770</t>
  </si>
  <si>
    <t>MT/ACB/398</t>
  </si>
  <si>
    <t>866389080307630</t>
  </si>
  <si>
    <t>MT/ACB/410</t>
  </si>
  <si>
    <t>860602080266796</t>
  </si>
  <si>
    <t>MT/ACB/413</t>
  </si>
  <si>
    <t>866389084101658</t>
  </si>
  <si>
    <t>MT/ACB/428</t>
  </si>
  <si>
    <t>866389083194472</t>
  </si>
  <si>
    <t>MT/ACB/451</t>
  </si>
  <si>
    <t>866389084084250</t>
  </si>
  <si>
    <t>MT/ACB/481</t>
  </si>
  <si>
    <t>866389084084136</t>
  </si>
  <si>
    <t>MT/ACB/485</t>
  </si>
  <si>
    <t>866389080153059</t>
  </si>
  <si>
    <t>MT/ACB/508</t>
  </si>
  <si>
    <t>866389080362494</t>
  </si>
  <si>
    <t>MT/ACB/529</t>
  </si>
  <si>
    <t>866389084193671</t>
  </si>
  <si>
    <t>MT/ACB/563</t>
  </si>
  <si>
    <t>866389084101997</t>
  </si>
  <si>
    <t>MT/ACB/569</t>
  </si>
  <si>
    <t>866389084210475</t>
  </si>
  <si>
    <t>MT/ACB/608</t>
  </si>
  <si>
    <t>866389084227552</t>
  </si>
  <si>
    <t>MT/ACB/613</t>
  </si>
  <si>
    <t>866389084082932</t>
  </si>
  <si>
    <t>MT/ACB/658</t>
  </si>
  <si>
    <t>866389084208537</t>
  </si>
  <si>
    <t>MT/ACB/683</t>
  </si>
  <si>
    <t>860602080266754</t>
  </si>
  <si>
    <t>MT/ACB/707</t>
  </si>
  <si>
    <t>863074083570656</t>
  </si>
  <si>
    <t>MT/ACB/736</t>
  </si>
  <si>
    <t>866389084209972</t>
  </si>
  <si>
    <t>MT/ACB/302</t>
  </si>
  <si>
    <t>866938083833784</t>
  </si>
  <si>
    <t>6 - NIGAM</t>
  </si>
  <si>
    <t>MT/ACB/363</t>
  </si>
  <si>
    <t>358557216830312</t>
  </si>
  <si>
    <t>MT/ACB/433</t>
  </si>
  <si>
    <t>358557219908776</t>
  </si>
  <si>
    <t>MT/ACB/643</t>
  </si>
  <si>
    <t>863995074525152</t>
  </si>
  <si>
    <t>MT/ACB/173</t>
  </si>
  <si>
    <t>A5 PRO 5G (8/128GB) MOCHA BROWN:OPPO:MOBILE</t>
  </si>
  <si>
    <t>860960079464156</t>
  </si>
  <si>
    <t>MT/ACB/69</t>
  </si>
  <si>
    <t>861595085295795</t>
  </si>
  <si>
    <t>MT/ACB/86</t>
  </si>
  <si>
    <t>350037990366138</t>
  </si>
  <si>
    <t>MT/ACB/26</t>
  </si>
  <si>
    <t>864001085625039</t>
  </si>
  <si>
    <t>MT/ACB/38</t>
  </si>
  <si>
    <t>V50E 5G (8/256GB) SAPPHIRE BLUE:VIVO:MOBILE</t>
  </si>
  <si>
    <t>865186074210155</t>
  </si>
  <si>
    <t>MT/ACB/45</t>
  </si>
  <si>
    <t>861636081024696</t>
  </si>
  <si>
    <t>MT/ACB/57</t>
  </si>
  <si>
    <t>861636081024753</t>
  </si>
  <si>
    <t>MT/ACB/110</t>
  </si>
  <si>
    <t>865118083610075</t>
  </si>
  <si>
    <t>MT/ACB/124</t>
  </si>
  <si>
    <t>861636081022237</t>
  </si>
  <si>
    <t>MT/ACB/183</t>
  </si>
  <si>
    <t>864001085067778</t>
  </si>
  <si>
    <t>MT/ACB/184</t>
  </si>
  <si>
    <t>864155084874376</t>
  </si>
  <si>
    <t>MT/ACB/207</t>
  </si>
  <si>
    <t>864001088147692</t>
  </si>
  <si>
    <t>MT/ACB/252</t>
  </si>
  <si>
    <t>864155084873675</t>
  </si>
  <si>
    <t>MT/ACB/253</t>
  </si>
  <si>
    <t>X300 5G (12/512GB) MIST BLEU:VIVO:MOBILE</t>
  </si>
  <si>
    <t>867203085994459</t>
  </si>
  <si>
    <t>MT/ACB/264</t>
  </si>
  <si>
    <t>864890071589153</t>
  </si>
  <si>
    <t>MT/ACB/276</t>
  </si>
  <si>
    <t>864001084381550</t>
  </si>
  <si>
    <t>MT/ACB/374</t>
  </si>
  <si>
    <t>864253086260494</t>
  </si>
  <si>
    <t>MT/ACB/424</t>
  </si>
  <si>
    <t>864001083503394</t>
  </si>
  <si>
    <t>MT/ACB/449</t>
  </si>
  <si>
    <t>865118083610679</t>
  </si>
  <si>
    <t>MT/ACB/456</t>
  </si>
  <si>
    <t>861636081021759</t>
  </si>
  <si>
    <t>MT/ACB/470</t>
  </si>
  <si>
    <t>V70 FE 5G (8/256GB) NORTHERN LIGHTS PURPLE:VIVO:MOBILE</t>
  </si>
  <si>
    <t>861130088460954</t>
  </si>
  <si>
    <t>MT/ACB/479</t>
  </si>
  <si>
    <t>V70 ELITE 5G (8/256GB) PASSION RED:VIVO:MOBILE</t>
  </si>
  <si>
    <t>864253087817334</t>
  </si>
  <si>
    <t>MT/ACB/526</t>
  </si>
  <si>
    <t>864001086031856</t>
  </si>
  <si>
    <t>MT/ACB/539</t>
  </si>
  <si>
    <t>861130088390474</t>
  </si>
  <si>
    <t>MT/ACB/577</t>
  </si>
  <si>
    <t>861570071488977</t>
  </si>
  <si>
    <t>MT/ACB/585</t>
  </si>
  <si>
    <t>861130088469237</t>
  </si>
  <si>
    <t>MT/ACB/593</t>
  </si>
  <si>
    <t>861636080565053</t>
  </si>
  <si>
    <t>MT/ACB/653</t>
  </si>
  <si>
    <t>861636081257874</t>
  </si>
  <si>
    <t>MT/ACB/668</t>
  </si>
  <si>
    <t>V70 ELITE 5G (12/256GB) AUTHENTIC BLACK:VIVO:MOBILE</t>
  </si>
  <si>
    <t>864253087572517</t>
  </si>
  <si>
    <t>MT/ACB/675</t>
  </si>
  <si>
    <t>861130088300499</t>
  </si>
  <si>
    <t>MT/ACB/688</t>
  </si>
  <si>
    <t>Y200 PRO (8/128GB) SILK BLACK:VIVO:MOBILE</t>
  </si>
  <si>
    <t>863580074298552</t>
  </si>
  <si>
    <t>MT/ACB/728</t>
  </si>
  <si>
    <t>Y200 5G(8/256GB) GREEN:VIVO:MOBILE</t>
  </si>
  <si>
    <t>868956060492398</t>
  </si>
  <si>
    <t>MT/ACB/733</t>
  </si>
  <si>
    <t>864253084799774</t>
  </si>
  <si>
    <t>MT/ACB/557</t>
  </si>
  <si>
    <t>REDMI NOTE 15 5G (8/256GB) BLACK:XIAOMI:MOBILE</t>
  </si>
  <si>
    <t>868495078317008</t>
  </si>
  <si>
    <t>7 - MUSTUFA MAKVANA</t>
  </si>
  <si>
    <t>MT/ACB/430</t>
  </si>
  <si>
    <t>IT2165C BLACK:ITEL:MOBILE</t>
  </si>
  <si>
    <t>356184711341802</t>
  </si>
  <si>
    <t>MT/ACB/566</t>
  </si>
  <si>
    <t>IT5608 NEO BLACK:ITEL:MOBILE</t>
  </si>
  <si>
    <t>353798601349600</t>
  </si>
  <si>
    <t>MT/ACB/243</t>
  </si>
  <si>
    <t>358557215420214</t>
  </si>
  <si>
    <t>MT/ACB/737</t>
  </si>
  <si>
    <t>358557216174158</t>
  </si>
  <si>
    <t>MT/ACB/284</t>
  </si>
  <si>
    <t>866418085823638</t>
  </si>
  <si>
    <t>MT/ACB/164</t>
  </si>
  <si>
    <t>863074082570970</t>
  </si>
  <si>
    <t>MT/ACB/180</t>
  </si>
  <si>
    <t>353201664038327</t>
  </si>
  <si>
    <t>MT/ACB/222</t>
  </si>
  <si>
    <t>SPARK 50 (KN8-6/128GB) FANTASY PURPLE:TECNO:MOBILE</t>
  </si>
  <si>
    <t>359093760379844</t>
  </si>
  <si>
    <t>MT/ACB/137</t>
  </si>
  <si>
    <t>864001084380891</t>
  </si>
  <si>
    <t>MT/ACB/200</t>
  </si>
  <si>
    <t>866150082257060</t>
  </si>
  <si>
    <t>MT/ACB/220</t>
  </si>
  <si>
    <t>861636081568775</t>
  </si>
  <si>
    <t>MT/ACB/296</t>
  </si>
  <si>
    <t>866022070964090</t>
  </si>
  <si>
    <t>MT/ACB/335</t>
  </si>
  <si>
    <t>V60E 5G (12/256GB) ELITE PURPLE:VIVO:MOBILE</t>
  </si>
  <si>
    <t>865426087670890</t>
  </si>
  <si>
    <t>MT/ACB/391</t>
  </si>
  <si>
    <t>867203082078173</t>
  </si>
  <si>
    <t>MT/ACB/487</t>
  </si>
  <si>
    <t>861130088299733</t>
  </si>
  <si>
    <t>MT/ACB/512</t>
  </si>
  <si>
    <t>861636080800674</t>
  </si>
  <si>
    <t>MT/ACB/582</t>
  </si>
  <si>
    <t>864001083489891</t>
  </si>
  <si>
    <t>MT/ACB/612</t>
  </si>
  <si>
    <t>861636080564478</t>
  </si>
  <si>
    <t>MT/ACB/636</t>
  </si>
  <si>
    <t>861570070918412</t>
  </si>
  <si>
    <t>MT/ACB/641</t>
  </si>
  <si>
    <t>864253084287135</t>
  </si>
  <si>
    <t>MT/ACB/670</t>
  </si>
  <si>
    <t>864253084699230</t>
  </si>
  <si>
    <t>MT/ACB/725</t>
  </si>
  <si>
    <t>864001084381295</t>
  </si>
  <si>
    <t>MT/ACB/327</t>
  </si>
  <si>
    <t>REDMI 15C 5G (4/128GB) MOONLIGHT BLUE:XIAOMI:MOBILE</t>
  </si>
  <si>
    <t>867738080340406</t>
  </si>
  <si>
    <t>MT/GDRB/22</t>
  </si>
  <si>
    <t>864001086257451</t>
  </si>
  <si>
    <t>MT/GDRB/33</t>
  </si>
  <si>
    <t>864001084354219</t>
  </si>
  <si>
    <t>MT/GDRB/45</t>
  </si>
  <si>
    <t>864001084552457</t>
  </si>
  <si>
    <t>9 - SAHID</t>
  </si>
  <si>
    <t>MT/GDRB/4</t>
  </si>
  <si>
    <t>359006539714596</t>
  </si>
  <si>
    <t>MT/GDRB/198</t>
  </si>
  <si>
    <t>356944974358433</t>
  </si>
  <si>
    <t>MT/GDRB/203</t>
  </si>
  <si>
    <t>358557215742450</t>
  </si>
  <si>
    <t>MT/GDRB/260</t>
  </si>
  <si>
    <t>358557219909915</t>
  </si>
  <si>
    <t>MT/GDRB/272</t>
  </si>
  <si>
    <t>357355576672197</t>
  </si>
  <si>
    <t>MT/GDRB/252</t>
  </si>
  <si>
    <t>355295347975325</t>
  </si>
  <si>
    <t>MT/GDRB/62</t>
  </si>
  <si>
    <t>PHONE 3A LITE (8/256GB) WHITE:NOTHING:MOBILE</t>
  </si>
  <si>
    <t>353098850063568</t>
  </si>
  <si>
    <t>MT/GDRB/49</t>
  </si>
  <si>
    <t>864784086154196</t>
  </si>
  <si>
    <t>MT/GDRB/136</t>
  </si>
  <si>
    <t>864052086003031</t>
  </si>
  <si>
    <t>MT/GDRB/176</t>
  </si>
  <si>
    <t>862080084306058</t>
  </si>
  <si>
    <t>MT/GDRB/207</t>
  </si>
  <si>
    <t>865761076229559</t>
  </si>
  <si>
    <t>MT/GDRB/225</t>
  </si>
  <si>
    <t>860960079464396</t>
  </si>
  <si>
    <t>MT/GDRB/232</t>
  </si>
  <si>
    <t>862464074514337</t>
  </si>
  <si>
    <t>MT/GDRB/11</t>
  </si>
  <si>
    <t>Y400 5G (8/128GB) OLIVE GREEN:VIVO:MOBILE</t>
  </si>
  <si>
    <t>868526074597555</t>
  </si>
  <si>
    <t>MT/GDRB/46</t>
  </si>
  <si>
    <t>T5X 5G (6/128GB) STAR SILVER:VIVO:MOBILE</t>
  </si>
  <si>
    <t>863204088517630</t>
  </si>
  <si>
    <t>MEHULKAKA</t>
  </si>
  <si>
    <t>MT/ACB/162</t>
  </si>
  <si>
    <t>IPHONE 17 PRO(256GB) SILVER:APPLE:MOBILE</t>
  </si>
  <si>
    <t>355159676017705</t>
  </si>
  <si>
    <t>MT/ACB/307</t>
  </si>
  <si>
    <t>11-inch iPad Wi-Fi 128GB - Silver:APPLE:TABLETS &amp; IPAD</t>
  </si>
  <si>
    <t>SC7VQCFYHXW</t>
  </si>
  <si>
    <t>MT/ACB/731</t>
  </si>
  <si>
    <t>357915799272636</t>
  </si>
  <si>
    <t>MT/ACB/278</t>
  </si>
  <si>
    <t>357355572906516</t>
  </si>
  <si>
    <t>MT/ACB/376</t>
  </si>
  <si>
    <t>357355572918578</t>
  </si>
  <si>
    <t>MT/ACB/648</t>
  </si>
  <si>
    <t>357355576673393</t>
  </si>
  <si>
    <t>MT/ACB/146</t>
  </si>
  <si>
    <t>N220(DUALSIM-4G-TA-1617) BLACK:NOKIA:MOBILE</t>
  </si>
  <si>
    <t>355211940929759</t>
  </si>
  <si>
    <t>MT/ACB/50</t>
  </si>
  <si>
    <t>862869085917313</t>
  </si>
  <si>
    <t>MT/ACB/118</t>
  </si>
  <si>
    <t>864784085981110</t>
  </si>
  <si>
    <t>MT/ACB/75</t>
  </si>
  <si>
    <t>15T 5G (8/128GB) SILK BLUE:REALME:MOBILE</t>
  </si>
  <si>
    <t>868088083594917</t>
  </si>
  <si>
    <t>MT/ACB/9</t>
  </si>
  <si>
    <t>867624075394998</t>
  </si>
  <si>
    <t>MT/ACB/166</t>
  </si>
  <si>
    <t>C85 5G (4/128GB) PARROT PURPLE:REALME:MOBILE</t>
  </si>
  <si>
    <t>869746085856118</t>
  </si>
  <si>
    <t>MT/ACB/230</t>
  </si>
  <si>
    <t>869746085861993</t>
  </si>
  <si>
    <t>MT/ACB/293</t>
  </si>
  <si>
    <t>861950081551792</t>
  </si>
  <si>
    <t>MT/ACB/358</t>
  </si>
  <si>
    <t>865420081338836</t>
  </si>
  <si>
    <t>MT/ACB/495</t>
  </si>
  <si>
    <t>869746085864096</t>
  </si>
  <si>
    <t>MT/ACB/531</t>
  </si>
  <si>
    <t>863055080699911</t>
  </si>
  <si>
    <t>MT/ACB/532</t>
  </si>
  <si>
    <t>863923087890116</t>
  </si>
  <si>
    <t>MT/ACB/534</t>
  </si>
  <si>
    <t>863055080750433</t>
  </si>
  <si>
    <t>MT/ACB/555</t>
  </si>
  <si>
    <t>863923087912670</t>
  </si>
  <si>
    <t>MT/ACB/732</t>
  </si>
  <si>
    <t>16 PRO 5G (8/256GB) MASTER GOLD:REALME:MOBILE</t>
  </si>
  <si>
    <t>869883083116615</t>
  </si>
  <si>
    <t>MT/ACB/21</t>
  </si>
  <si>
    <t>353525200264025</t>
  </si>
  <si>
    <t>MT/ACB/170</t>
  </si>
  <si>
    <t>352822576488069</t>
  </si>
  <si>
    <t>MT/ACB/181</t>
  </si>
  <si>
    <t>355299983133595</t>
  </si>
  <si>
    <t>MT/ACB/713</t>
  </si>
  <si>
    <t>S942BC(S26-12/256GB) BLACK:SAMSUNG:MOBILE</t>
  </si>
  <si>
    <t>351690534804003</t>
  </si>
  <si>
    <t>MT/ACB/734</t>
  </si>
  <si>
    <t>354372910503734</t>
  </si>
  <si>
    <t>MT/ACB/87</t>
  </si>
  <si>
    <t>MT/ACB/199</t>
  </si>
  <si>
    <t>SPARK GO 3(KN3-4/64GB) BLACK:TECNO:MOBILE</t>
  </si>
  <si>
    <t>355463920147098</t>
  </si>
  <si>
    <t>355463920148666</t>
  </si>
  <si>
    <t>SPARK GO 3(KN3-4/64GB) BLUE:TECNO:MOBILE</t>
  </si>
  <si>
    <t>355463920637346</t>
  </si>
  <si>
    <t>355463920710309</t>
  </si>
  <si>
    <t>SPARK GO 3(KN3-4/64GB) TITANIUM GREY:TECNO:MOBILE</t>
  </si>
  <si>
    <t>355463920454643</t>
  </si>
  <si>
    <t>MT/ACB/103</t>
  </si>
  <si>
    <t>867203082001670</t>
  </si>
  <si>
    <t>MT/ACB/128</t>
  </si>
  <si>
    <t>V60E 5G (8/128GB) ELITE PURPLE:VIVO:MOBILE</t>
  </si>
  <si>
    <t>865932082075332</t>
  </si>
  <si>
    <t>MT/ACB/248</t>
  </si>
  <si>
    <t>864253086259918</t>
  </si>
  <si>
    <t>MT/ACB/628</t>
  </si>
  <si>
    <t>X300 PRO 5G (16/512GB) DUNE GOLD:VIVO:MOBILE</t>
  </si>
  <si>
    <t>862492085673453</t>
  </si>
  <si>
    <t>MT/ACB/657</t>
  </si>
  <si>
    <t>864001082252779</t>
  </si>
  <si>
    <t>MT/ACB/729</t>
  </si>
  <si>
    <t>860125088381854</t>
  </si>
  <si>
    <t>MT/ACB/723</t>
  </si>
  <si>
    <t>XIAOMI PAD 7 (8/128GB) GRAPHITE GREY:XIAOMI:TABLETS &amp; IPAD</t>
  </si>
  <si>
    <t>61325X5US00835</t>
  </si>
  <si>
    <t>MT/GDRB/113</t>
  </si>
  <si>
    <t>A100 (A6611L-4/64GB) PURE BLACK:ITEL:MOBILE</t>
  </si>
  <si>
    <t>357512821596551</t>
  </si>
  <si>
    <t>MT/GDRB/82</t>
  </si>
  <si>
    <t>358557213817353</t>
  </si>
  <si>
    <t>MT/GDRB/219</t>
  </si>
  <si>
    <t>358557213647933</t>
  </si>
  <si>
    <t>MT/GDRB/48</t>
  </si>
  <si>
    <t>867932087559650</t>
  </si>
  <si>
    <t>MT/GDRB/263</t>
  </si>
  <si>
    <t>862080084306116</t>
  </si>
  <si>
    <t>MT/GDRB/55</t>
  </si>
  <si>
    <t>(DEMO)14 PRO 5G (8/128GB):REALME:DEMO</t>
  </si>
  <si>
    <t>861491072660813</t>
  </si>
  <si>
    <t>MT/GDRB/103</t>
  </si>
  <si>
    <t>GT 7T (8/256GB) ICESENSE BLACK:REALME:MOBILE</t>
  </si>
  <si>
    <t>869611072691912</t>
  </si>
  <si>
    <t>MT/GDRB/173</t>
  </si>
  <si>
    <t>863074083554031</t>
  </si>
  <si>
    <t>MT/GDRB/177</t>
  </si>
  <si>
    <t>860543080342213</t>
  </si>
  <si>
    <t>MT/GDRB/196</t>
  </si>
  <si>
    <t>863074083580515</t>
  </si>
  <si>
    <t>MT/GDRB/300</t>
  </si>
  <si>
    <t>860543080403759</t>
  </si>
  <si>
    <t>MT/GDRB/331</t>
  </si>
  <si>
    <t>866389084234673</t>
  </si>
  <si>
    <t>MT/GDRB/74</t>
  </si>
  <si>
    <t>S938BB(S25 ULTRA-12/256GB) TITANIUM SILVERBLUE:SAMSUNG:MOBILE</t>
  </si>
  <si>
    <t>352901549510702</t>
  </si>
  <si>
    <t>MT/GDRB/106</t>
  </si>
  <si>
    <t>A266BK(A26 5G-8/128GB) MINT:SAMSUNG:MOBILE</t>
  </si>
  <si>
    <t>353201663293121</t>
  </si>
  <si>
    <t>MT/GDRB/137</t>
  </si>
  <si>
    <t>355299981552846</t>
  </si>
  <si>
    <t>MT/GDRB/221</t>
  </si>
  <si>
    <t>A366EK(A36 5G-8/256GB) AWESOME LAVENDER:SAMSUNG:MOBILE</t>
  </si>
  <si>
    <t>356258195603364</t>
  </si>
  <si>
    <t>MT/GDRB/292</t>
  </si>
  <si>
    <t>355299983789503</t>
  </si>
  <si>
    <t>356137748486669</t>
  </si>
  <si>
    <t>356137748011038</t>
  </si>
  <si>
    <t>350037992269348</t>
  </si>
  <si>
    <t>MT/GDRB/31</t>
  </si>
  <si>
    <t>864001088152296</t>
  </si>
  <si>
    <t>MT/GDRB/147</t>
  </si>
  <si>
    <t>864001085097932</t>
  </si>
  <si>
    <t>MT/GDRB/153</t>
  </si>
  <si>
    <t>868237074827766</t>
  </si>
  <si>
    <t>868237075944404</t>
  </si>
  <si>
    <t>MT/GDRB/193</t>
  </si>
  <si>
    <t>Y51 PRO 5G (8/256GB) NOBLE GOLD:VIVO:MOBILE</t>
  </si>
  <si>
    <t>864155086058051</t>
  </si>
  <si>
    <t>MT/GDRB/59</t>
  </si>
  <si>
    <t>866938083168546</t>
  </si>
  <si>
    <t>866938081769386</t>
  </si>
  <si>
    <t>866938081833760</t>
  </si>
  <si>
    <t>866938081858106</t>
  </si>
  <si>
    <t>MT/GDRB/206</t>
  </si>
  <si>
    <t>REDMI 15 5G (6/128GB) MIDNIGHT BLACK:XIAOMI:MOBILE</t>
  </si>
  <si>
    <t>866374074396005</t>
  </si>
  <si>
    <t>MT/SRB/248</t>
  </si>
  <si>
    <t>869556081084692</t>
  </si>
  <si>
    <t>MT/SRB/179</t>
  </si>
  <si>
    <t>861636080914871</t>
  </si>
  <si>
    <t>MT/SRB/15</t>
  </si>
  <si>
    <t>864902083055444</t>
  </si>
  <si>
    <t>Grand Total</t>
  </si>
  <si>
    <t>Row Labels</t>
  </si>
  <si>
    <t>Sum of Sales Qty.</t>
  </si>
  <si>
    <t>Sum of Sales Value</t>
  </si>
  <si>
    <t>Sum of Profit Amt.</t>
  </si>
  <si>
    <t xml:space="preserve">MANAGER NAME </t>
  </si>
  <si>
    <t>SALES PERSON</t>
  </si>
  <si>
    <t>GP TGT</t>
  </si>
  <si>
    <t>QTY TGT</t>
  </si>
  <si>
    <t xml:space="preserve">SAM VAL TGT </t>
  </si>
  <si>
    <t>GP ACH</t>
  </si>
  <si>
    <t>QTY ACH</t>
  </si>
  <si>
    <t>GP BTD</t>
  </si>
  <si>
    <t>QTY BTD</t>
  </si>
  <si>
    <t>SAM VAL ACH</t>
  </si>
  <si>
    <t>SAM BTD</t>
  </si>
  <si>
    <t>PER DAY REQ</t>
  </si>
  <si>
    <t>PER DAY QTY REQ</t>
  </si>
  <si>
    <t>ANVARBHAI</t>
  </si>
  <si>
    <t>DEEPBHAI</t>
  </si>
  <si>
    <t>Mayankbhai</t>
  </si>
  <si>
    <t>JANAKBHAI</t>
  </si>
  <si>
    <t>KADIRBHAI</t>
  </si>
  <si>
    <t>SHIVANGBHAI</t>
  </si>
  <si>
    <t>TOTAL</t>
  </si>
  <si>
    <t>PER DAY REQ GP</t>
  </si>
  <si>
    <t>Sales Return Qty.</t>
  </si>
  <si>
    <t>Sales Return Value</t>
  </si>
  <si>
    <t>(All)</t>
  </si>
  <si>
    <t>SAM ACH</t>
  </si>
  <si>
    <t>SAMSUNG TGT VS ACH</t>
  </si>
  <si>
    <t>MT/GDRB/358</t>
  </si>
  <si>
    <t>N105(SINGLESIM-TA-1575) CHARCOAL:NOKIA:MOBILE</t>
  </si>
  <si>
    <t>MT/GDRB/363</t>
  </si>
  <si>
    <t>MT/ACB/801</t>
  </si>
  <si>
    <t>MT/ACB/742</t>
  </si>
  <si>
    <t>MT/ACB/756</t>
  </si>
  <si>
    <t>S731BC(S25 FE-8/256GB) WHITE:SAMSUNG:MOBILE</t>
  </si>
  <si>
    <t>MT/ACB/758</t>
  </si>
  <si>
    <t>S948BB(S26 ULTRA-12/256GB) COBALT VIOLET:SAMSUNG:MOBILE</t>
  </si>
  <si>
    <t>MT/ACB/768</t>
  </si>
  <si>
    <t>S942BC(S26-12/256GB) COBALT VIOLET:SAMSUNG:MOBILE</t>
  </si>
  <si>
    <t>MT/GDRB/353</t>
  </si>
  <si>
    <t>MT/GDRB/349</t>
  </si>
  <si>
    <t>MT/GDRB/351</t>
  </si>
  <si>
    <t>MT/GDRB/354</t>
  </si>
  <si>
    <t>V70 5G (8/256GB) AUTHENTIC BLACK:VIVO:MOBILE</t>
  </si>
  <si>
    <t>MT/GDRB/356</t>
  </si>
  <si>
    <t>MT/ACB/761</t>
  </si>
  <si>
    <t>MT/ACB/746</t>
  </si>
  <si>
    <t>MT/ACB/779</t>
  </si>
  <si>
    <t>MT/ACB/806</t>
  </si>
  <si>
    <t>MT/ACB/783</t>
  </si>
  <si>
    <t>IPHONE 17 PRO(256GB) DEEP BLUE:APPLE:MOBILE</t>
  </si>
  <si>
    <t>MT/ACB/750</t>
  </si>
  <si>
    <t>MT/ACB/789</t>
  </si>
  <si>
    <t>MT/ACB/800</t>
  </si>
  <si>
    <t>MT/ACB/762</t>
  </si>
  <si>
    <t>MT/GDRB/346</t>
  </si>
  <si>
    <t>MT/GDRB/359</t>
  </si>
  <si>
    <t>MT/GDRB/348</t>
  </si>
  <si>
    <t>MT/ACB/741</t>
  </si>
  <si>
    <t>MT/SRB/311</t>
  </si>
  <si>
    <t>MT/SRB/315</t>
  </si>
  <si>
    <t>MT/SRB/324</t>
  </si>
  <si>
    <t>MT/SRB/309</t>
  </si>
  <si>
    <t>MT/SRB/314</t>
  </si>
  <si>
    <t>MT/SRB/320</t>
  </si>
  <si>
    <t>V70 5G (12/256GB) PASSION RED:VIVO:MOBILE</t>
  </si>
  <si>
    <t>MT/SRB/310</t>
  </si>
  <si>
    <t>MT/SRB/325</t>
  </si>
  <si>
    <t>MT/SRB/322</t>
  </si>
  <si>
    <t>MT/ACB/743</t>
  </si>
  <si>
    <t>MT/ACB/749</t>
  </si>
  <si>
    <t>F31 5G (8/128GB) MIDNIGHT BLUE:OPPO:MOBILE</t>
  </si>
  <si>
    <t>MT/ACB/766</t>
  </si>
  <si>
    <t>RENO 15 5G (12/512GB) TWILIGHT BLUE:OPPO:MOBILE</t>
  </si>
  <si>
    <t>MT/ACB/772</t>
  </si>
  <si>
    <t>A6 5G (6/128GB) SAKURA PINK:OPPO:MOBILE</t>
  </si>
  <si>
    <t>MT/ACB/784</t>
  </si>
  <si>
    <t>MT/ACB/792</t>
  </si>
  <si>
    <t>MT/ACB/759</t>
  </si>
  <si>
    <t>MT/ACB/793</t>
  </si>
  <si>
    <t>MT/ACB/763</t>
  </si>
  <si>
    <t>MT/ACB/808</t>
  </si>
  <si>
    <t>A376ED(A37 5G-8/128GB) GRAY GREEN:SAMSUNG:MOBILE</t>
  </si>
  <si>
    <t>MT/GDRB/367</t>
  </si>
  <si>
    <t>MT/ACB/745</t>
  </si>
  <si>
    <t>Y21 5G (8/128GB) CHAMPANGE GOLD:VIVO:MOBILE</t>
  </si>
  <si>
    <t>MT/ACB/771</t>
  </si>
  <si>
    <t>IT2181 BLACK:ITEL:MOBILE</t>
  </si>
  <si>
    <t>MT/ACB/780</t>
  </si>
  <si>
    <t>MT/ACB/794</t>
  </si>
  <si>
    <t>MT/ACB/807</t>
  </si>
  <si>
    <t>MT/ACB/764</t>
  </si>
  <si>
    <t>MT/ACB/788</t>
  </si>
  <si>
    <t>MT/ACB/765</t>
  </si>
  <si>
    <t>REDMI 15A 5G (4/64GB) ACE BLACK:XIAOMI:MOBILE</t>
  </si>
  <si>
    <t>MT/ACB/775</t>
  </si>
  <si>
    <t>MT/ACB/796</t>
  </si>
  <si>
    <t>MT/ACB/797</t>
  </si>
  <si>
    <t>MT/ACB/805</t>
  </si>
  <si>
    <t>MT/ACB/804</t>
  </si>
  <si>
    <t>IT ACE 3 DEEP BLUE:ITEL:MOBILE</t>
  </si>
  <si>
    <t>MT/ACB/744</t>
  </si>
  <si>
    <t>MT/ACB/767</t>
  </si>
  <si>
    <t>MT/ACB/778</t>
  </si>
  <si>
    <t>MT/ACB/770</t>
  </si>
  <si>
    <t>MT/ACB/787</t>
  </si>
  <si>
    <t>MT/GDRB/369</t>
  </si>
  <si>
    <t>12/04/2026</t>
  </si>
  <si>
    <t>351775766060646</t>
  </si>
  <si>
    <t>864001082746994</t>
  </si>
  <si>
    <t>358557214771013</t>
  </si>
  <si>
    <t>355299981317364</t>
  </si>
  <si>
    <t>351298325322076</t>
  </si>
  <si>
    <t>358780490739302</t>
  </si>
  <si>
    <t>351690534865566</t>
  </si>
  <si>
    <t>864052086755879</t>
  </si>
  <si>
    <t>861636080671737</t>
  </si>
  <si>
    <t>861636080662470</t>
  </si>
  <si>
    <t>861636080336919</t>
  </si>
  <si>
    <t>864001083531510</t>
  </si>
  <si>
    <t>350133665794892</t>
  </si>
  <si>
    <t>358557215414092</t>
  </si>
  <si>
    <t>353324452660191</t>
  </si>
  <si>
    <t>359695532606880</t>
  </si>
  <si>
    <t>352590925526174</t>
  </si>
  <si>
    <t>356944973838617</t>
  </si>
  <si>
    <t>356231213518492</t>
  </si>
  <si>
    <t>863074083646696</t>
  </si>
  <si>
    <t>861636080532855</t>
  </si>
  <si>
    <t>864784081956538</t>
  </si>
  <si>
    <t>352425610345558</t>
  </si>
  <si>
    <t>861130087312438</t>
  </si>
  <si>
    <t>869556083441171</t>
  </si>
  <si>
    <t>860543081360859</t>
  </si>
  <si>
    <t>866389083438911</t>
  </si>
  <si>
    <t>860543081403295</t>
  </si>
  <si>
    <t>861636080269052</t>
  </si>
  <si>
    <t>864253089053177</t>
  </si>
  <si>
    <t>861636083237031</t>
  </si>
  <si>
    <t>866389080128937</t>
  </si>
  <si>
    <t>868088085969356</t>
  </si>
  <si>
    <t>861636080915019</t>
  </si>
  <si>
    <t>356849605901016</t>
  </si>
  <si>
    <t>862080083538651</t>
  </si>
  <si>
    <t>865806085456097</t>
  </si>
  <si>
    <t>862869086756835</t>
  </si>
  <si>
    <t>865806087229351</t>
  </si>
  <si>
    <t>357279950987379</t>
  </si>
  <si>
    <t>868495078308346</t>
  </si>
  <si>
    <t>358557214621994</t>
  </si>
  <si>
    <t>355299983595801</t>
  </si>
  <si>
    <t>351008510154782</t>
  </si>
  <si>
    <t>868088085742332</t>
  </si>
  <si>
    <t>869636087205739</t>
  </si>
  <si>
    <t>353578920503040</t>
  </si>
  <si>
    <t>866389080726490</t>
  </si>
  <si>
    <t>867146080607537</t>
  </si>
  <si>
    <t>860543080401175</t>
  </si>
  <si>
    <t>866389080750219</t>
  </si>
  <si>
    <t>866389080710072</t>
  </si>
  <si>
    <t>866938084205248</t>
  </si>
  <si>
    <t>861636080337636</t>
  </si>
  <si>
    <t>861636081256033</t>
  </si>
  <si>
    <t>861636080532418</t>
  </si>
  <si>
    <t>861130088390698</t>
  </si>
  <si>
    <t>351825980597962</t>
  </si>
  <si>
    <t>861636080662371</t>
  </si>
  <si>
    <t>866150080383686</t>
  </si>
  <si>
    <t>864001082337133</t>
  </si>
  <si>
    <t>357218977927950</t>
  </si>
  <si>
    <t>866592081605809</t>
  </si>
  <si>
    <t>866389084077379</t>
  </si>
  <si>
    <t xml:space="preserve"> GP ACH ACB  12-04-2026</t>
  </si>
  <si>
    <t>GP ACHV GRB 12-04-2026</t>
  </si>
  <si>
    <t>GP ACHV MRB 12-04-2026</t>
  </si>
  <si>
    <t>SAMSUNG TGT VS ACH MRB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</si>
</sst>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9C57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22"/>
      <color rgb="FF9C57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theme="1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1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16" fillId="33" borderId="18" xfId="0" applyNumberFormat="1" applyFont="1" applyFill="1" applyBorder="1"/>
    <xf numFmtId="1" fontId="16" fillId="34" borderId="18" xfId="0" applyNumberFormat="1" applyFont="1" applyFill="1" applyBorder="1"/>
    <xf numFmtId="1" fontId="16" fillId="35" borderId="18" xfId="0" applyNumberFormat="1" applyFont="1" applyFill="1" applyBorder="1"/>
    <xf numFmtId="1" fontId="16" fillId="36" borderId="18" xfId="0" applyNumberFormat="1" applyFont="1" applyFill="1" applyBorder="1"/>
    <xf numFmtId="1" fontId="16" fillId="37" borderId="18" xfId="0" applyNumberFormat="1" applyFont="1" applyFill="1" applyBorder="1"/>
    <xf numFmtId="1" fontId="16" fillId="38" borderId="18" xfId="0" applyNumberFormat="1" applyFont="1" applyFill="1" applyBorder="1"/>
    <xf numFmtId="1" fontId="16" fillId="38" borderId="20" xfId="0" applyNumberFormat="1" applyFont="1" applyFill="1" applyBorder="1"/>
    <xf numFmtId="1" fontId="0" fillId="0" borderId="0" xfId="0" applyNumberFormat="1"/>
    <xf numFmtId="1" fontId="19" fillId="33" borderId="17" xfId="5" applyNumberFormat="1" applyFont="1" applyFill="1" applyBorder="1" applyAlignment="1">
      <alignment horizontal="center" vertical="center" wrapText="1"/>
    </xf>
    <xf numFmtId="1" fontId="16" fillId="33" borderId="18" xfId="0" applyNumberFormat="1" applyFont="1" applyFill="1" applyBorder="1" applyAlignment="1">
      <alignment horizontal="left"/>
    </xf>
    <xf numFmtId="1" fontId="19" fillId="34" borderId="17" xfId="5" applyNumberFormat="1" applyFont="1" applyFill="1" applyBorder="1" applyAlignment="1">
      <alignment horizontal="center" vertical="center"/>
    </xf>
    <xf numFmtId="1" fontId="16" fillId="34" borderId="18" xfId="0" applyNumberFormat="1" applyFont="1" applyFill="1" applyBorder="1" applyAlignment="1">
      <alignment horizontal="left"/>
    </xf>
    <xf numFmtId="1" fontId="19" fillId="35" borderId="17" xfId="5" applyNumberFormat="1" applyFont="1" applyFill="1" applyBorder="1" applyAlignment="1">
      <alignment horizontal="center" vertical="center"/>
    </xf>
    <xf numFmtId="1" fontId="16" fillId="35" borderId="18" xfId="0" applyNumberFormat="1" applyFont="1" applyFill="1" applyBorder="1" applyAlignment="1">
      <alignment horizontal="left"/>
    </xf>
    <xf numFmtId="1" fontId="19" fillId="36" borderId="17" xfId="5" applyNumberFormat="1" applyFont="1" applyFill="1" applyBorder="1" applyAlignment="1">
      <alignment horizontal="center" vertical="center"/>
    </xf>
    <xf numFmtId="1" fontId="16" fillId="36" borderId="18" xfId="0" applyNumberFormat="1" applyFont="1" applyFill="1" applyBorder="1" applyAlignment="1">
      <alignment horizontal="left"/>
    </xf>
    <xf numFmtId="1" fontId="19" fillId="37" borderId="17" xfId="5" applyNumberFormat="1" applyFont="1" applyFill="1" applyBorder="1" applyAlignment="1">
      <alignment horizontal="center" vertical="center"/>
    </xf>
    <xf numFmtId="1" fontId="16" fillId="37" borderId="18" xfId="0" applyNumberFormat="1" applyFont="1" applyFill="1" applyBorder="1" applyAlignment="1">
      <alignment horizontal="left"/>
    </xf>
    <xf numFmtId="1" fontId="19" fillId="38" borderId="17" xfId="5" applyNumberFormat="1" applyFont="1" applyFill="1" applyBorder="1" applyAlignment="1">
      <alignment horizontal="center" vertical="center"/>
    </xf>
    <xf numFmtId="1" fontId="16" fillId="38" borderId="18" xfId="0" applyNumberFormat="1" applyFont="1" applyFill="1" applyBorder="1" applyAlignment="1">
      <alignment horizontal="left"/>
    </xf>
    <xf numFmtId="1" fontId="16" fillId="38" borderId="20" xfId="0" applyNumberFormat="1" applyFont="1" applyFill="1" applyBorder="1" applyAlignment="1">
      <alignment horizontal="left"/>
    </xf>
    <xf numFmtId="1" fontId="19" fillId="38" borderId="21" xfId="5" applyNumberFormat="1" applyFont="1" applyFill="1" applyBorder="1" applyAlignment="1">
      <alignment horizontal="center" vertical="center"/>
    </xf>
    <xf numFmtId="1" fontId="13" fillId="39" borderId="10" xfId="5" applyNumberFormat="1" applyFont="1" applyFill="1" applyBorder="1" applyAlignment="1">
      <alignment horizontal="center" vertical="center"/>
    </xf>
    <xf numFmtId="1" fontId="13" fillId="40" borderId="18" xfId="0" applyNumberFormat="1" applyFont="1" applyFill="1" applyBorder="1"/>
    <xf numFmtId="1" fontId="13" fillId="41" borderId="18" xfId="0" applyNumberFormat="1" applyFont="1" applyFill="1" applyBorder="1"/>
    <xf numFmtId="1" fontId="19" fillId="33" borderId="18" xfId="5" applyNumberFormat="1" applyFont="1" applyFill="1" applyBorder="1" applyAlignment="1">
      <alignment horizontal="center" vertical="center" wrapText="1"/>
    </xf>
    <xf numFmtId="1" fontId="19" fillId="34" borderId="18" xfId="5" applyNumberFormat="1" applyFont="1" applyFill="1" applyBorder="1" applyAlignment="1">
      <alignment horizontal="center" vertical="center"/>
    </xf>
    <xf numFmtId="1" fontId="19" fillId="35" borderId="18" xfId="5" applyNumberFormat="1" applyFont="1" applyFill="1" applyBorder="1" applyAlignment="1">
      <alignment horizontal="center" vertical="center"/>
    </xf>
    <xf numFmtId="1" fontId="19" fillId="36" borderId="18" xfId="5" applyNumberFormat="1" applyFont="1" applyFill="1" applyBorder="1" applyAlignment="1">
      <alignment horizontal="center" vertical="center"/>
    </xf>
    <xf numFmtId="1" fontId="19" fillId="37" borderId="18" xfId="5" applyNumberFormat="1" applyFont="1" applyFill="1" applyBorder="1" applyAlignment="1">
      <alignment horizontal="center" vertical="center"/>
    </xf>
    <xf numFmtId="1" fontId="19" fillId="38" borderId="18" xfId="5" applyNumberFormat="1" applyFont="1" applyFill="1" applyBorder="1" applyAlignment="1">
      <alignment horizontal="center" vertical="center"/>
    </xf>
    <xf numFmtId="1" fontId="13" fillId="41" borderId="23" xfId="0" applyNumberFormat="1" applyFont="1" applyFill="1" applyBorder="1"/>
    <xf numFmtId="1" fontId="19" fillId="38" borderId="20" xfId="5" applyNumberFormat="1" applyFont="1" applyFill="1" applyBorder="1" applyAlignment="1">
      <alignment horizontal="center" vertical="center"/>
    </xf>
    <xf numFmtId="0" fontId="21" fillId="37" borderId="18" xfId="0" applyFont="1" applyFill="1" applyBorder="1" applyAlignment="1">
      <alignment horizontal="center"/>
    </xf>
    <xf numFmtId="1" fontId="21" fillId="37" borderId="18" xfId="0" applyNumberFormat="1" applyFont="1" applyFill="1" applyBorder="1"/>
    <xf numFmtId="0" fontId="0" fillId="0" borderId="21" xfId="0" applyBorder="1"/>
    <xf numFmtId="0" fontId="0" fillId="0" borderId="17" xfId="0" applyBorder="1"/>
    <xf numFmtId="0" fontId="0" fillId="0" borderId="18" xfId="0" applyBorder="1"/>
    <xf numFmtId="1" fontId="0" fillId="0" borderId="18" xfId="0" applyNumberFormat="1" applyBorder="1"/>
    <xf numFmtId="1" fontId="18" fillId="0" borderId="0" xfId="8" applyNumberFormat="1" applyFont="1" applyFill="1" applyBorder="1" applyAlignment="1"/>
    <xf numFmtId="1" fontId="0" fillId="0" borderId="19" xfId="0" applyNumberFormat="1" applyBorder="1"/>
    <xf numFmtId="0" fontId="0" fillId="0" borderId="20" xfId="0" applyBorder="1"/>
    <xf numFmtId="1" fontId="0" fillId="0" borderId="20" xfId="0" applyNumberFormat="1" applyBorder="1"/>
    <xf numFmtId="1" fontId="0" fillId="0" borderId="24" xfId="0" applyNumberFormat="1" applyBorder="1"/>
    <xf numFmtId="0" fontId="16" fillId="42" borderId="18" xfId="0" applyFont="1" applyFill="1" applyBorder="1" applyAlignment="1">
      <alignment horizontal="left"/>
    </xf>
    <xf numFmtId="1" fontId="16" fillId="42" borderId="18" xfId="0" applyNumberFormat="1" applyFont="1" applyFill="1" applyBorder="1"/>
    <xf numFmtId="0" fontId="16" fillId="42" borderId="18" xfId="0" applyFont="1" applyFill="1" applyBorder="1"/>
    <xf numFmtId="1" fontId="13" fillId="40" borderId="25" xfId="0" applyNumberFormat="1" applyFont="1" applyFill="1" applyBorder="1"/>
    <xf numFmtId="1" fontId="13" fillId="40" borderId="26" xfId="0" applyNumberFormat="1" applyFont="1" applyFill="1" applyBorder="1"/>
    <xf numFmtId="0" fontId="16" fillId="42" borderId="25" xfId="0" applyFont="1" applyFill="1" applyBorder="1" applyAlignment="1">
      <alignment horizontal="left"/>
    </xf>
    <xf numFmtId="1" fontId="16" fillId="42" borderId="26" xfId="0" applyNumberFormat="1" applyFont="1" applyFill="1" applyBorder="1"/>
    <xf numFmtId="1" fontId="13" fillId="38" borderId="27" xfId="0" applyNumberFormat="1" applyFont="1" applyFill="1" applyBorder="1"/>
    <xf numFmtId="1" fontId="13" fillId="38" borderId="28" xfId="0" applyNumberFormat="1" applyFont="1" applyFill="1" applyBorder="1"/>
    <xf numFmtId="0" fontId="16" fillId="42" borderId="26" xfId="0" applyFont="1" applyFill="1" applyBorder="1" applyAlignment="1">
      <alignment horizontal="left"/>
    </xf>
    <xf numFmtId="1" fontId="13" fillId="40" borderId="29" xfId="0" applyNumberFormat="1" applyFont="1" applyFill="1" applyBorder="1"/>
    <xf numFmtId="1" fontId="13" fillId="40" borderId="30" xfId="0" applyNumberFormat="1" applyFont="1" applyFill="1" applyBorder="1"/>
    <xf numFmtId="1" fontId="13" fillId="40" borderId="31" xfId="0" applyNumberFormat="1" applyFont="1" applyFill="1" applyBorder="1"/>
    <xf numFmtId="1" fontId="23" fillId="40" borderId="25" xfId="0" applyNumberFormat="1" applyFont="1" applyFill="1" applyBorder="1"/>
    <xf numFmtId="1" fontId="23" fillId="40" borderId="18" xfId="0" applyNumberFormat="1" applyFont="1" applyFill="1" applyBorder="1"/>
    <xf numFmtId="1" fontId="23" fillId="40" borderId="26" xfId="0" applyNumberFormat="1" applyFont="1" applyFill="1" applyBorder="1"/>
    <xf numFmtId="1" fontId="24" fillId="43" borderId="25" xfId="0" applyNumberFormat="1" applyFont="1" applyFill="1" applyBorder="1" applyAlignment="1">
      <alignment horizontal="left"/>
    </xf>
    <xf numFmtId="1" fontId="24" fillId="43" borderId="17" xfId="0" applyNumberFormat="1" applyFont="1" applyFill="1" applyBorder="1"/>
    <xf numFmtId="1" fontId="24" fillId="43" borderId="18" xfId="0" applyNumberFormat="1" applyFont="1" applyFill="1" applyBorder="1"/>
    <xf numFmtId="1" fontId="24" fillId="43" borderId="26" xfId="0" applyNumberFormat="1" applyFont="1" applyFill="1" applyBorder="1"/>
    <xf numFmtId="1" fontId="23" fillId="38" borderId="29" xfId="0" applyNumberFormat="1" applyFont="1" applyFill="1" applyBorder="1" applyAlignment="1">
      <alignment horizontal="left"/>
    </xf>
    <xf numFmtId="1" fontId="23" fillId="38" borderId="33" xfId="0" applyNumberFormat="1" applyFont="1" applyFill="1" applyBorder="1"/>
    <xf numFmtId="1" fontId="23" fillId="38" borderId="34" xfId="0" applyNumberFormat="1" applyFont="1" applyFill="1" applyBorder="1"/>
    <xf numFmtId="1" fontId="25" fillId="44" borderId="25" xfId="0" applyNumberFormat="1" applyFont="1" applyFill="1" applyBorder="1"/>
    <xf numFmtId="1" fontId="16" fillId="41" borderId="14" xfId="0" applyNumberFormat="1" applyFont="1" applyFill="1" applyBorder="1" applyAlignment="1">
      <alignment horizontal="center" vertical="center"/>
    </xf>
    <xf numFmtId="1" fontId="16" fillId="41" borderId="15" xfId="0" applyNumberFormat="1" applyFont="1" applyFill="1" applyBorder="1" applyAlignment="1">
      <alignment horizontal="center" vertical="center"/>
    </xf>
    <xf numFmtId="1" fontId="16" fillId="41" borderId="16" xfId="0" applyNumberFormat="1" applyFont="1" applyFill="1" applyBorder="1" applyAlignment="1">
      <alignment horizontal="center" vertical="center"/>
    </xf>
    <xf numFmtId="1" fontId="16" fillId="33" borderId="18" xfId="0" applyNumberFormat="1" applyFont="1" applyFill="1" applyBorder="1" applyAlignment="1">
      <alignment horizontal="center" vertical="center"/>
    </xf>
    <xf numFmtId="1" fontId="16" fillId="33" borderId="19" xfId="0" applyNumberFormat="1" applyFont="1" applyFill="1" applyBorder="1" applyAlignment="1">
      <alignment horizontal="center" vertical="center"/>
    </xf>
    <xf numFmtId="1" fontId="16" fillId="34" borderId="18" xfId="0" applyNumberFormat="1" applyFont="1" applyFill="1" applyBorder="1" applyAlignment="1">
      <alignment horizontal="center" vertical="center"/>
    </xf>
    <xf numFmtId="1" fontId="16" fillId="35" borderId="18" xfId="0" applyNumberFormat="1" applyFont="1" applyFill="1" applyBorder="1" applyAlignment="1">
      <alignment horizontal="center" vertical="center"/>
    </xf>
    <xf numFmtId="1" fontId="16" fillId="36" borderId="18" xfId="0" applyNumberFormat="1" applyFont="1" applyFill="1" applyBorder="1" applyAlignment="1">
      <alignment horizontal="center" vertical="center"/>
    </xf>
    <xf numFmtId="1" fontId="16" fillId="37" borderId="18" xfId="0" applyNumberFormat="1" applyFont="1" applyFill="1" applyBorder="1" applyAlignment="1">
      <alignment horizontal="center" vertical="center"/>
    </xf>
    <xf numFmtId="1" fontId="16" fillId="38" borderId="18" xfId="0" applyNumberFormat="1" applyFont="1" applyFill="1" applyBorder="1" applyAlignment="1">
      <alignment horizontal="center" vertical="center"/>
    </xf>
    <xf numFmtId="1" fontId="16" fillId="38" borderId="20" xfId="0" applyNumberFormat="1" applyFont="1" applyFill="1" applyBorder="1" applyAlignment="1">
      <alignment horizontal="center" vertical="center"/>
    </xf>
    <xf numFmtId="1" fontId="13" fillId="39" borderId="22" xfId="0" applyNumberFormat="1" applyFont="1" applyFill="1" applyBorder="1" applyAlignment="1">
      <alignment horizontal="center" vertical="center"/>
    </xf>
    <xf numFmtId="1" fontId="13" fillId="39" borderId="0" xfId="0" applyNumberFormat="1" applyFont="1" applyFill="1" applyAlignment="1">
      <alignment horizontal="center" vertical="center"/>
    </xf>
    <xf numFmtId="1" fontId="18" fillId="4" borderId="11" xfId="8" applyNumberFormat="1" applyFont="1" applyBorder="1" applyAlignment="1">
      <alignment horizontal="center"/>
    </xf>
    <xf numFmtId="1" fontId="18" fillId="4" borderId="12" xfId="8" applyNumberFormat="1" applyFont="1" applyBorder="1" applyAlignment="1">
      <alignment horizontal="center"/>
    </xf>
    <xf numFmtId="1" fontId="18" fillId="4" borderId="13" xfId="8" applyNumberFormat="1" applyFont="1" applyBorder="1" applyAlignment="1">
      <alignment horizontal="center"/>
    </xf>
    <xf numFmtId="1" fontId="18" fillId="4" borderId="11" xfId="8" applyNumberFormat="1" applyFont="1" applyBorder="1" applyAlignment="1">
      <alignment horizontal="center" vertical="center"/>
    </xf>
    <xf numFmtId="1" fontId="18" fillId="4" borderId="12" xfId="8" applyNumberFormat="1" applyFont="1" applyBorder="1" applyAlignment="1">
      <alignment horizontal="center" vertical="center"/>
    </xf>
    <xf numFmtId="1" fontId="18" fillId="4" borderId="13" xfId="8" applyNumberFormat="1" applyFont="1" applyBorder="1" applyAlignment="1">
      <alignment horizontal="center" vertical="center"/>
    </xf>
    <xf numFmtId="1" fontId="22" fillId="4" borderId="11" xfId="8" applyNumberFormat="1" applyFont="1" applyBorder="1" applyAlignment="1">
      <alignment horizontal="center"/>
    </xf>
    <xf numFmtId="1" fontId="22" fillId="4" borderId="12" xfId="8" applyNumberFormat="1" applyFont="1" applyBorder="1" applyAlignment="1">
      <alignment horizontal="center"/>
    </xf>
    <xf numFmtId="1" fontId="22" fillId="4" borderId="13" xfId="8" applyNumberFormat="1" applyFont="1" applyBorder="1" applyAlignment="1">
      <alignment horizontal="center"/>
    </xf>
    <xf numFmtId="1" fontId="25" fillId="44" borderId="32" xfId="0" applyNumberFormat="1" applyFont="1" applyFill="1" applyBorder="1" applyAlignment="1">
      <alignment horizontal="center"/>
    </xf>
    <xf numFmtId="1" fontId="25" fillId="44" borderId="35" xfId="0" applyNumberFormat="1" applyFont="1" applyFill="1" applyBorder="1" applyAlignment="1">
      <alignment horizontal="center"/>
    </xf>
    <xf numFmtId="1" fontId="25" fillId="44" borderId="17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numFmt numFmtId="1" formatCode="0"/>
      <fill>
        <patternFill patternType="solid">
          <fgColor indexed="64"/>
          <bgColor theme="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RB%20-%20GP%20TARGET%20APRIL%202026%20(2).xlsx" TargetMode="External"/><Relationship Id="rId1" Type="http://schemas.openxmlformats.org/officeDocument/2006/relationships/externalLinkPath" Target="file:///C:\Users\HP\Downloads\MRB%20-%20GP%20TARGET%20APRIL%202026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CB-%20GP%20TARGET%20APRIL%202026%20(3).xlsx" TargetMode="External"/><Relationship Id="rId1" Type="http://schemas.openxmlformats.org/officeDocument/2006/relationships/externalLinkPath" Target="file:///C:\Users\HP\Downloads\ACB-%20GP%20TARGET%20APRIL%202026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3">
          <cell r="B3" t="str">
            <v>Employee</v>
          </cell>
          <cell r="C3" t="str">
            <v>GP Target (₹)</v>
          </cell>
          <cell r="D3" t="str">
            <v>Pcs Qty.</v>
          </cell>
          <cell r="E3" t="str">
            <v xml:space="preserve">Ageing Stock Sales Target </v>
          </cell>
          <cell r="F3" t="str">
            <v>Samsung Value Tg</v>
          </cell>
          <cell r="G3" t="str">
            <v>Base Incentive On Gp 5% (₹)</v>
          </cell>
          <cell r="H3" t="str">
            <v>Base Incentive On Qty. 5% (₹)</v>
          </cell>
        </row>
        <row r="4">
          <cell r="B4" t="str">
            <v>2020 - FAIZAL</v>
          </cell>
          <cell r="C4">
            <v>75000</v>
          </cell>
          <cell r="D4">
            <v>90</v>
          </cell>
          <cell r="E4">
            <v>13.5</v>
          </cell>
          <cell r="F4">
            <v>720000</v>
          </cell>
          <cell r="G4">
            <v>3750</v>
          </cell>
          <cell r="H4">
            <v>3750</v>
          </cell>
        </row>
        <row r="5">
          <cell r="B5" t="str">
            <v>2005-VISHALBHAI</v>
          </cell>
          <cell r="C5">
            <v>105000</v>
          </cell>
          <cell r="D5">
            <v>110</v>
          </cell>
          <cell r="E5">
            <v>16.5</v>
          </cell>
          <cell r="F5">
            <v>720000</v>
          </cell>
          <cell r="G5">
            <v>5250</v>
          </cell>
          <cell r="H5">
            <v>5250</v>
          </cell>
        </row>
        <row r="6">
          <cell r="B6" t="str">
            <v>2025 - Jayesh katariya</v>
          </cell>
          <cell r="C6">
            <v>62000</v>
          </cell>
          <cell r="D6">
            <v>85</v>
          </cell>
          <cell r="E6">
            <v>12.75</v>
          </cell>
          <cell r="F6">
            <v>720000</v>
          </cell>
          <cell r="G6">
            <v>3100</v>
          </cell>
          <cell r="H6">
            <v>3100</v>
          </cell>
        </row>
        <row r="7">
          <cell r="B7" t="str">
            <v>2024-HITARTH GOSAI</v>
          </cell>
          <cell r="C7">
            <v>80000</v>
          </cell>
          <cell r="D7">
            <v>95</v>
          </cell>
          <cell r="E7">
            <v>14.25</v>
          </cell>
          <cell r="F7">
            <v>720000</v>
          </cell>
          <cell r="G7">
            <v>4000</v>
          </cell>
          <cell r="H7">
            <v>4000</v>
          </cell>
        </row>
        <row r="8">
          <cell r="B8" t="str">
            <v>2008-SAHILBHAI</v>
          </cell>
          <cell r="C8">
            <v>75000</v>
          </cell>
          <cell r="D8">
            <v>95</v>
          </cell>
          <cell r="E8">
            <v>14.25</v>
          </cell>
          <cell r="F8">
            <v>720000</v>
          </cell>
          <cell r="G8">
            <v>3750</v>
          </cell>
          <cell r="H8">
            <v>3750</v>
          </cell>
        </row>
        <row r="9">
          <cell r="B9" t="str">
            <v>2026 - ATIK</v>
          </cell>
          <cell r="C9">
            <v>50000</v>
          </cell>
          <cell r="D9">
            <v>85</v>
          </cell>
          <cell r="E9">
            <v>12.75</v>
          </cell>
          <cell r="F9">
            <v>720000</v>
          </cell>
          <cell r="G9">
            <v>2500</v>
          </cell>
          <cell r="H9">
            <v>2500</v>
          </cell>
        </row>
        <row r="10">
          <cell r="B10" t="str">
            <v>2009 - SAHIL M.</v>
          </cell>
          <cell r="C10">
            <v>60000</v>
          </cell>
          <cell r="D10">
            <v>85</v>
          </cell>
          <cell r="E10">
            <v>12.75</v>
          </cell>
          <cell r="F10">
            <v>720000</v>
          </cell>
          <cell r="G10">
            <v>3000</v>
          </cell>
          <cell r="H10">
            <v>3000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5.717675810185" createdVersion="8" refreshedVersion="8" minRefreshableVersion="3" recordCount="856" xr:uid="{6311EB31-F87B-46A5-BC5A-33201A2B047E}">
  <cacheSource type="worksheet">
    <worksheetSource ref="A1:M1048576" sheet="Sheet1"/>
  </cacheSource>
  <cacheFields count="13">
    <cacheField name="Salesperson" numFmtId="0">
      <sharedItems containsBlank="1" count="28">
        <s v="1 - CHIRAG PATHAK"/>
        <s v="1 - VINIT MANDAVIYA"/>
        <s v="13 - Hemang"/>
        <s v="14 - NAKIB"/>
        <s v="15 - NIKUNJ JOSHI"/>
        <s v="16 - UMANG"/>
        <s v="2 - BHARGAV"/>
        <s v="2 - DIPAK MAKWANA"/>
        <s v="2005-VISHALBHAI"/>
        <s v="2008-SAHILBHAI"/>
        <s v="2009 - SAHIL M."/>
        <s v="2020 - FAIZAL"/>
        <s v="2024-HITARTH GOSAI"/>
        <s v="2025 - Jayesh katariya"/>
        <s v="2026 - ATIK"/>
        <s v="26 - TINABEN"/>
        <s v="27 - Hardik Parmar"/>
        <s v="3 - Tanmay Lathiya"/>
        <s v="30-DHRUV ODEDRA"/>
        <s v="32 - NIDHI MAKWANA"/>
        <s v="34 - AVESH"/>
        <s v="4 - MOIN SHAHMADAR"/>
        <s v="6 - NIGAM"/>
        <s v="7 - MUSTUFA MAKVANA"/>
        <s v="9 - SAHID"/>
        <s v="MEHULKAKA"/>
        <m/>
        <s v="2024-HITARTHÂ GOSAI" u="1"/>
      </sharedItems>
    </cacheField>
    <cacheField name="Branch" numFmtId="0">
      <sharedItems containsBlank="1" count="4">
        <s v="GONDAL ROAD BRANCH"/>
        <s v="ASTRON CHOWK"/>
        <s v="SANALA ROAD BRANCH (MORBI)"/>
        <m/>
      </sharedItems>
    </cacheField>
    <cacheField name="Brand" numFmtId="0">
      <sharedItems containsBlank="1" count="15">
        <s v="INFINIX"/>
        <s v="NOKIA"/>
        <s v="ONE PLUS"/>
        <s v="MOTOROLA"/>
        <s v="REALME"/>
        <s v="TECNO"/>
        <s v="VIVO"/>
        <s v="XIAOMI"/>
        <s v="APPLE"/>
        <s v="SAMSUNG"/>
        <s v="POCO"/>
        <s v="OPPO"/>
        <s v="NOTHING"/>
        <s v="ITEL"/>
        <m/>
      </sharedItems>
    </cacheField>
    <cacheField name="Doc. No." numFmtId="0">
      <sharedItems containsBlank="1"/>
    </cacheField>
    <cacheField name="Doc. Date" numFmtId="0">
      <sharedItems containsBlank="1"/>
    </cacheField>
    <cacheField name="Item/Model" numFmtId="0">
      <sharedItems containsBlank="1"/>
    </cacheField>
    <cacheField name="Sales Qty." numFmtId="0">
      <sharedItems containsString="0" containsBlank="1" containsNumber="1" containsInteger="1" minValue="0" maxValue="1"/>
    </cacheField>
    <cacheField name="Sales Value" numFmtId="0">
      <sharedItems containsString="0" containsBlank="1" containsNumber="1" containsInteger="1" minValue="0" maxValue="164000"/>
    </cacheField>
    <cacheField name="Sales Return Qty." numFmtId="0">
      <sharedItems containsString="0" containsBlank="1" containsNumber="1" containsInteger="1" minValue="0" maxValue="1"/>
    </cacheField>
    <cacheField name="Sales Return Value" numFmtId="0">
      <sharedItems containsString="0" containsBlank="1" containsNumber="1" containsInteger="1" minValue="0" maxValue="20699"/>
    </cacheField>
    <cacheField name="Manager Landing" numFmtId="0">
      <sharedItems containsString="0" containsBlank="1" containsNumber="1" minValue="799" maxValue="165504"/>
    </cacheField>
    <cacheField name="IMEI NO" numFmtId="0">
      <sharedItems containsBlank="1"/>
    </cacheField>
    <cacheField name="Profit Amt." numFmtId="0">
      <sharedItems containsString="0" containsBlank="1" containsNumber="1" minValue="-4189" maxValue="179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6">
  <r>
    <x v="0"/>
    <x v="0"/>
    <x v="0"/>
    <s v="MT/ACB/44"/>
    <s v="01/04/2026"/>
    <s v="HOT 60 5G (6/128GB) SHADOW BLUE:INFINIX:MOBILE"/>
    <n v="1"/>
    <n v="13000"/>
    <n v="0"/>
    <n v="0"/>
    <n v="13379"/>
    <s v="358168450526697"/>
    <n v="-379"/>
  </r>
  <r>
    <x v="0"/>
    <x v="0"/>
    <x v="1"/>
    <s v="MT/ACB/58"/>
    <s v="01/04/2026"/>
    <s v="N105(SINGLESIM-TA-1423) CHARCOAL:NOKIA:MOBILE"/>
    <n v="1"/>
    <n v="1399"/>
    <n v="0"/>
    <n v="0"/>
    <n v="1157"/>
    <s v="355295347976349"/>
    <n v="242"/>
  </r>
  <r>
    <x v="0"/>
    <x v="0"/>
    <x v="2"/>
    <s v="MT/ACB/95"/>
    <s v="02/04/2026"/>
    <s v="NORD 5 (8/256GB) PHANTOM GREY:ONE PLUS:MOBILE"/>
    <n v="1"/>
    <n v="33999"/>
    <n v="0"/>
    <n v="0"/>
    <n v="33129"/>
    <s v="869066074631335"/>
    <n v="870"/>
  </r>
  <r>
    <x v="0"/>
    <x v="0"/>
    <x v="3"/>
    <s v="MT/GDRB/212"/>
    <s v="08/04/2026"/>
    <s v="MOTO G35 (4/128GB) LEAF GREEN:MOTOROLA:MOBILE"/>
    <n v="1"/>
    <n v="11800"/>
    <n v="0"/>
    <n v="0"/>
    <n v="12140"/>
    <s v="358557215871838"/>
    <n v="-340"/>
  </r>
  <r>
    <x v="0"/>
    <x v="0"/>
    <x v="3"/>
    <s v="MT/GDRB/266"/>
    <s v="09/04/2026"/>
    <s v="MOTO G57 (8/128GB) PANTONE CORSAIR:MOTOROLA:MOBILE"/>
    <n v="1"/>
    <n v="15500"/>
    <n v="0"/>
    <n v="0"/>
    <n v="15540"/>
    <s v="357355576670373"/>
    <n v="-40"/>
  </r>
  <r>
    <x v="0"/>
    <x v="0"/>
    <x v="3"/>
    <s v="MT/GDRB/277"/>
    <s v="09/04/2026"/>
    <s v="MOTO G35 (4/128GB) MIDNIGHT BLACK:MOTOROLA:MOBILE"/>
    <n v="1"/>
    <n v="12000"/>
    <n v="0"/>
    <n v="0"/>
    <n v="12140"/>
    <s v="358557214019553"/>
    <n v="-140"/>
  </r>
  <r>
    <x v="0"/>
    <x v="0"/>
    <x v="3"/>
    <s v="MT/GDRB/314"/>
    <s v="10/04/2026"/>
    <s v="MOTO G86 (8/128GB) PANTONE COSMIC SKY:MOTOROLA:MOBILE"/>
    <n v="1"/>
    <n v="18000"/>
    <n v="0"/>
    <n v="0"/>
    <n v="17482"/>
    <s v="354510964114458"/>
    <n v="518"/>
  </r>
  <r>
    <x v="0"/>
    <x v="0"/>
    <x v="3"/>
    <s v="MT/GDRB/323"/>
    <s v="11/04/2026"/>
    <s v="MOTO G57 (8/128GB) PANTONE CORSAIR:MOTOROLA:MOBILE"/>
    <n v="1"/>
    <n v="16000"/>
    <n v="0"/>
    <n v="0"/>
    <n v="15540"/>
    <s v="357355576672130"/>
    <n v="460"/>
  </r>
  <r>
    <x v="0"/>
    <x v="0"/>
    <x v="3"/>
    <s v="MT/GDRB/336"/>
    <s v="11/04/2026"/>
    <s v="MOTO EDGE 70 FUSION (8/256GB) COUNTRY AIR:MOTOROLA:MOBILE"/>
    <n v="1"/>
    <n v="29999"/>
    <n v="0"/>
    <n v="0"/>
    <n v="28862"/>
    <s v="357279952196193"/>
    <n v="1137"/>
  </r>
  <r>
    <x v="0"/>
    <x v="0"/>
    <x v="4"/>
    <s v="MT/GDRB/204"/>
    <s v="08/04/2026"/>
    <s v="C83 5G (4/64GB) SPROUTING GREEN:REALME:MOBILE"/>
    <n v="1"/>
    <n v="13500"/>
    <n v="0"/>
    <n v="0"/>
    <n v="13582"/>
    <s v="860543080822610"/>
    <n v="-82"/>
  </r>
  <r>
    <x v="0"/>
    <x v="0"/>
    <x v="4"/>
    <s v="MT/GDRB/333"/>
    <s v="11/04/2026"/>
    <s v="C83 5G (4/64GB) SPROUTING GREEN:REALME:MOBILE"/>
    <n v="1"/>
    <n v="13300"/>
    <n v="0"/>
    <n v="0"/>
    <n v="13582"/>
    <s v="860543080813130"/>
    <n v="-282"/>
  </r>
  <r>
    <x v="0"/>
    <x v="0"/>
    <x v="5"/>
    <s v="MT/GDRB/214"/>
    <s v="08/04/2026"/>
    <s v="SPARK GO 5G (KM8-4/128GB) BLACK:TECNO:MOBILE"/>
    <n v="1"/>
    <n v="11000"/>
    <n v="0"/>
    <n v="0"/>
    <n v="9622"/>
    <s v="357683480954140"/>
    <n v="1378"/>
  </r>
  <r>
    <x v="0"/>
    <x v="0"/>
    <x v="6"/>
    <s v="MT/GDRB/192"/>
    <s v="08/04/2026"/>
    <s v="Y11 5G (4/128GB) SUNRISE GOLD:VIVO:MOBILE"/>
    <n v="1"/>
    <n v="16400"/>
    <n v="0"/>
    <n v="0"/>
    <n v="15847"/>
    <s v="864001084354631"/>
    <n v="553"/>
  </r>
  <r>
    <x v="0"/>
    <x v="0"/>
    <x v="6"/>
    <s v="MT/GDRB/247"/>
    <s v="08/04/2026"/>
    <s v="V70 5G (8/256GB) PASSION RED:VIVO:MOBILE"/>
    <n v="1"/>
    <n v="42000"/>
    <n v="0"/>
    <n v="0"/>
    <n v="42253"/>
    <s v="861636080799876"/>
    <n v="-253"/>
  </r>
  <r>
    <x v="0"/>
    <x v="0"/>
    <x v="6"/>
    <s v="MT/GDRB/262"/>
    <s v="09/04/2026"/>
    <s v="Y31 5G (4/128GB) DIAMOND GREEN:VIVO:MOBILE"/>
    <n v="1"/>
    <n v="17500"/>
    <n v="0"/>
    <n v="0"/>
    <n v="17482"/>
    <s v="866150081824241"/>
    <n v="18"/>
  </r>
  <r>
    <x v="0"/>
    <x v="0"/>
    <x v="6"/>
    <s v="MT/GDRB/296"/>
    <s v="10/04/2026"/>
    <s v="X300 5G (12/256GB) SUMMIT RED:VIVO:MOBILE"/>
    <n v="1"/>
    <n v="71200"/>
    <n v="0"/>
    <n v="0"/>
    <n v="69202"/>
    <s v="867203082077951"/>
    <n v="1998"/>
  </r>
  <r>
    <x v="0"/>
    <x v="0"/>
    <x v="6"/>
    <s v="MT/GDRB/298"/>
    <s v="10/04/2026"/>
    <s v="Y11 5G (4/64GB) SUNRISE GOLD:VIVO:MOBILE"/>
    <n v="1"/>
    <n v="13500"/>
    <n v="0"/>
    <n v="0"/>
    <n v="14010"/>
    <s v="864001083761331"/>
    <n v="-510"/>
  </r>
  <r>
    <x v="0"/>
    <x v="0"/>
    <x v="6"/>
    <s v="MT/GDRB/309"/>
    <s v="10/04/2026"/>
    <s v="V70 FE 5G (12/256GB) MONSOON BLUE:VIVO:MOBILE"/>
    <n v="1"/>
    <n v="41999"/>
    <n v="0"/>
    <n v="0"/>
    <n v="41355"/>
    <s v="861130088390995"/>
    <n v="644"/>
  </r>
  <r>
    <x v="0"/>
    <x v="0"/>
    <x v="6"/>
    <s v="MT/GDRB/310"/>
    <s v="10/04/2026"/>
    <s v="Y51 PRO 5G (8/128GB) NOBLE GOLD:VIVO:MOBILE"/>
    <n v="1"/>
    <n v="23500"/>
    <n v="0"/>
    <n v="0"/>
    <n v="23147"/>
    <s v="864155085604111"/>
    <n v="353"/>
  </r>
  <r>
    <x v="0"/>
    <x v="0"/>
    <x v="7"/>
    <s v="MT/GDRB/251"/>
    <s v="08/04/2026"/>
    <s v="REDMI 15A 5G (4/64GB) AWESOME BLUE:XIAOMI:MOBILE"/>
    <n v="1"/>
    <n v="12500"/>
    <n v="0"/>
    <n v="0"/>
    <n v="12605"/>
    <s v="866938083527949"/>
    <n v="-105"/>
  </r>
  <r>
    <x v="1"/>
    <x v="1"/>
    <x v="8"/>
    <s v="MT/ACB/660"/>
    <s v="10/04/2026"/>
    <s v="IPHONE 15(128GB) BLUE:APPLE:MOBILE"/>
    <n v="1"/>
    <n v="58900"/>
    <n v="0"/>
    <n v="0"/>
    <n v="58091"/>
    <s v="357205927186068"/>
    <n v="809"/>
  </r>
  <r>
    <x v="1"/>
    <x v="1"/>
    <x v="8"/>
    <s v="MT/ACB/740"/>
    <s v="11/04/2026"/>
    <s v="IPHONE 16(128GB) TEAL:APPLE:MOBILE"/>
    <n v="1"/>
    <n v="69900"/>
    <n v="0"/>
    <n v="0"/>
    <n v="67789"/>
    <s v="354385327159346"/>
    <n v="2111"/>
  </r>
  <r>
    <x v="1"/>
    <x v="1"/>
    <x v="0"/>
    <s v="MT/ACB/153"/>
    <s v="03/04/2026"/>
    <s v="NOTE EDGE (8/256GB) SILK GREEN:INFINIX:MOBILE"/>
    <n v="1"/>
    <n v="24499"/>
    <n v="0"/>
    <n v="0"/>
    <n v="24848"/>
    <s v="357633350511223"/>
    <n v="-349"/>
  </r>
  <r>
    <x v="1"/>
    <x v="1"/>
    <x v="3"/>
    <s v="MT/ACB/104"/>
    <s v="02/04/2026"/>
    <s v="MOTO EDGE 70 FUSION (8/128GB) SILHOUTTE:MOTOROLA:MOBILE"/>
    <n v="1"/>
    <n v="26999"/>
    <n v="0"/>
    <n v="0"/>
    <n v="25975"/>
    <s v="353324456559217"/>
    <n v="1024"/>
  </r>
  <r>
    <x v="1"/>
    <x v="1"/>
    <x v="3"/>
    <s v="MT/ACB/105"/>
    <s v="02/04/2026"/>
    <s v="MOTO EDGE 70 FUSION (8/128GB) COUNTRY AIR:MOTOROLA:MOBILE"/>
    <n v="1"/>
    <n v="26999"/>
    <n v="0"/>
    <n v="0"/>
    <n v="25975"/>
    <s v="353324456438032"/>
    <n v="1024"/>
  </r>
  <r>
    <x v="1"/>
    <x v="1"/>
    <x v="3"/>
    <s v="MT/ACB/279"/>
    <s v="05/04/2026"/>
    <s v="MOTO G67 POWER (8/128GB) CILANTRO:MOTOROLA:MOBILE"/>
    <n v="1"/>
    <n v="16700"/>
    <n v="0"/>
    <n v="0"/>
    <n v="16511"/>
    <s v="356944973841850"/>
    <n v="189"/>
  </r>
  <r>
    <x v="1"/>
    <x v="1"/>
    <x v="3"/>
    <s v="MT/ACB/328"/>
    <s v="06/04/2026"/>
    <s v="MOTO G67 POWER (8/128GB) CILANTRO:MOTOROLA:MOBILE"/>
    <n v="1"/>
    <n v="16500"/>
    <n v="0"/>
    <n v="0"/>
    <n v="16511"/>
    <s v="356231213509871"/>
    <n v="-11"/>
  </r>
  <r>
    <x v="1"/>
    <x v="1"/>
    <x v="3"/>
    <s v="MT/ACB/386"/>
    <s v="06/04/2026"/>
    <s v="MOTO EDGE 70 FUSION (12/256GB) COUNTRY AIR:MOTOROLA:MOBILE"/>
    <n v="1"/>
    <n v="32000"/>
    <n v="0"/>
    <n v="0"/>
    <n v="31748"/>
    <s v="353324451029851"/>
    <n v="252"/>
  </r>
  <r>
    <x v="1"/>
    <x v="1"/>
    <x v="9"/>
    <s v="MT/ACB/14"/>
    <s v="01/04/2026"/>
    <s v="E176BB(F17 5G-6/128GB) NEO BLACK:SAMSUNG:MOBILE"/>
    <n v="1"/>
    <n v="18000"/>
    <n v="0"/>
    <n v="0"/>
    <n v="17834"/>
    <s v="352822575322368"/>
    <n v="166"/>
  </r>
  <r>
    <x v="1"/>
    <x v="1"/>
    <x v="9"/>
    <s v="MT/ACB/3"/>
    <s v="01/04/2026"/>
    <s v="E176BB(F17 5G-6/128GB) NEO BLACK:SAMSUNG:MOBILE"/>
    <n v="1"/>
    <n v="18500"/>
    <n v="0"/>
    <n v="0"/>
    <n v="17834"/>
    <s v="352822576483441"/>
    <n v="666"/>
  </r>
  <r>
    <x v="1"/>
    <x v="1"/>
    <x v="9"/>
    <s v="MT/ACB/4"/>
    <s v="01/04/2026"/>
    <s v="A376ED(A37 5G-8/128GB) CHARCOAL:SAMSUNG:MOBILE"/>
    <n v="1"/>
    <n v="37000"/>
    <n v="0"/>
    <n v="0"/>
    <n v="37518"/>
    <s v="351008510100827"/>
    <n v="-518"/>
  </r>
  <r>
    <x v="1"/>
    <x v="1"/>
    <x v="9"/>
    <s v="MT/ACB/120"/>
    <s v="02/04/2026"/>
    <s v="E176BA(F17 5G-4/128GB) VIOLET POP:SAMSUNG:MOBILE(T.VALUE)"/>
    <n v="1"/>
    <n v="15200"/>
    <n v="0"/>
    <n v="0"/>
    <n v="15000"/>
    <s v="350133664577231"/>
    <n v="200"/>
  </r>
  <r>
    <x v="1"/>
    <x v="1"/>
    <x v="9"/>
    <s v="MT/ACB/129"/>
    <s v="02/04/2026"/>
    <s v="A176NL(A17 5G-6/128GB) W/O TA BLACK:SAMSUNG:MOBILE(T.VALUE)"/>
    <n v="1"/>
    <n v="17500"/>
    <n v="0"/>
    <n v="0"/>
    <n v="17528"/>
    <s v="355299983595827"/>
    <n v="-28"/>
  </r>
  <r>
    <x v="1"/>
    <x v="1"/>
    <x v="9"/>
    <s v="MT/ACB/186"/>
    <s v="03/04/2026"/>
    <s v="E176BA(F17 5G-4/128GB) VIOLET POP:SAMSUNG:MOBILE(T.VALUE)"/>
    <n v="1"/>
    <n v="15500"/>
    <n v="0"/>
    <n v="0"/>
    <n v="15000"/>
    <s v="350133667052356"/>
    <n v="500"/>
  </r>
  <r>
    <x v="1"/>
    <x v="1"/>
    <x v="9"/>
    <s v="MT/ACB/201"/>
    <s v="03/04/2026"/>
    <s v="A176BN(A17 5G-8/256GB) BLACK:SAMSUNG:MOBILE"/>
    <n v="1"/>
    <n v="22000"/>
    <n v="0"/>
    <n v="0"/>
    <n v="21968"/>
    <s v="350037990364620"/>
    <n v="32"/>
  </r>
  <r>
    <x v="1"/>
    <x v="1"/>
    <x v="9"/>
    <s v="MT/ACB/219"/>
    <s v="04/04/2026"/>
    <s v="A176BN(A17 5G-8/256GB) BLACK:SAMSUNG:MOBILE"/>
    <n v="1"/>
    <n v="22500"/>
    <n v="0"/>
    <n v="0"/>
    <n v="21968"/>
    <s v="350037990384438"/>
    <n v="532"/>
  </r>
  <r>
    <x v="1"/>
    <x v="1"/>
    <x v="9"/>
    <s v="MT/ACB/237"/>
    <s v="04/04/2026"/>
    <s v="A366EN(A36 5G-12/256GB) AWESOME BLACK:SAMSUNG:MOBILE(T.VALUE)"/>
    <n v="1"/>
    <n v="34900"/>
    <n v="0"/>
    <n v="0"/>
    <n v="31600"/>
    <s v="353897853099119"/>
    <n v="3300"/>
  </r>
  <r>
    <x v="1"/>
    <x v="1"/>
    <x v="9"/>
    <s v="MT/ACB/245"/>
    <s v="04/04/2026"/>
    <s v="A075FD(A07 4G-4/64GB) GREEN:SAMSUNG:MOBILE"/>
    <n v="1"/>
    <n v="9000"/>
    <n v="0"/>
    <n v="0"/>
    <n v="8916"/>
    <s v="354372910220404"/>
    <n v="84"/>
  </r>
  <r>
    <x v="1"/>
    <x v="1"/>
    <x v="9"/>
    <s v="MT/ACB/312"/>
    <s v="05/04/2026"/>
    <s v="A176NL(A17 5G-6/128GB) W/O TA GRAY:SAMSUNG:MOBILE(T.VALUE)"/>
    <n v="1"/>
    <n v="17500"/>
    <n v="0"/>
    <n v="0"/>
    <n v="17528"/>
    <s v="355963804692895"/>
    <n v="-28"/>
  </r>
  <r>
    <x v="1"/>
    <x v="1"/>
    <x v="9"/>
    <s v="MT/ACB/330"/>
    <s v="06/04/2026"/>
    <s v="A176NM(A17 5G-8/128GB) W/O TA GRAY:SAMSUNG:MOBILE"/>
    <n v="1"/>
    <n v="19900"/>
    <n v="0"/>
    <n v="0"/>
    <n v="20307"/>
    <s v="356137748010881"/>
    <n v="-407"/>
  </r>
  <r>
    <x v="1"/>
    <x v="1"/>
    <x v="9"/>
    <s v="MT/ACB/341"/>
    <s v="06/04/2026"/>
    <s v="S948BC(S26 ULTRA-12/512GB) SILVER:SAMSUNG:MOBILE(T.VALUE)"/>
    <n v="1"/>
    <n v="135000"/>
    <n v="0"/>
    <n v="0"/>
    <n v="132036"/>
    <s v="352425611054043"/>
    <n v="2964"/>
  </r>
  <r>
    <x v="1"/>
    <x v="1"/>
    <x v="9"/>
    <s v="MT/ACB/353"/>
    <s v="06/04/2026"/>
    <s v="S948BC(S26 ULTRA-12/512GB) COBALT VIOLET:SAMSUNG:MOBILE(T.VALUE)"/>
    <n v="1"/>
    <n v="136000"/>
    <n v="0"/>
    <n v="0"/>
    <n v="132036"/>
    <s v="352425610048574"/>
    <n v="3964"/>
  </r>
  <r>
    <x v="1"/>
    <x v="1"/>
    <x v="9"/>
    <s v="MT/ACB/366"/>
    <s v="06/04/2026"/>
    <s v="A076BB(A07 5G-4/128GB) LIGHT GREEN:SAMSUNG:MOBILE"/>
    <n v="1"/>
    <n v="15000"/>
    <n v="0"/>
    <n v="0"/>
    <n v="14440"/>
    <s v="359695532606989"/>
    <n v="560"/>
  </r>
  <r>
    <x v="1"/>
    <x v="1"/>
    <x v="9"/>
    <s v="MT/ACB/385"/>
    <s v="06/04/2026"/>
    <s v="E176BA(F17 5G-4/128GB) NEO BLACK:SAMSUNG:MOBILE"/>
    <n v="1"/>
    <n v="15300"/>
    <n v="0"/>
    <n v="0"/>
    <n v="15956"/>
    <s v="350133667037258"/>
    <n v="-656"/>
  </r>
  <r>
    <x v="1"/>
    <x v="1"/>
    <x v="9"/>
    <s v="MT/ACB/426"/>
    <s v="07/04/2026"/>
    <s v="A176BN(A17 5G-8/256GB) BLACK:SAMSUNG:MOBILE"/>
    <n v="1"/>
    <n v="22000"/>
    <n v="0"/>
    <n v="0"/>
    <n v="21968"/>
    <s v="350037990383059"/>
    <n v="32"/>
  </r>
  <r>
    <x v="1"/>
    <x v="1"/>
    <x v="9"/>
    <s v="MT/ACB/444"/>
    <s v="07/04/2026"/>
    <s v="S938BB(S25 ULTRA-12/256GB) TITANIUM JETBLACK:SAMSUNG:MOBILE"/>
    <n v="1"/>
    <n v="113000"/>
    <n v="0"/>
    <n v="0"/>
    <n v="113189"/>
    <s v="352901549312273"/>
    <n v="-189"/>
  </r>
  <r>
    <x v="1"/>
    <x v="1"/>
    <x v="9"/>
    <s v="MT/ACB/455"/>
    <s v="07/04/2026"/>
    <s v="A075FD(A07 4G-4/64GB) GREEN:SAMSUNG:MOBILE"/>
    <n v="1"/>
    <n v="9000"/>
    <n v="0"/>
    <n v="0"/>
    <n v="8916"/>
    <s v="354372910213029"/>
    <n v="84"/>
  </r>
  <r>
    <x v="1"/>
    <x v="1"/>
    <x v="9"/>
    <s v="MT/ACB/465"/>
    <s v="08/04/2026"/>
    <s v="A176NL(A17 5G-6/128GB) W/O TA BLUE:SAMSUNG:MOBILE"/>
    <n v="1"/>
    <n v="18500"/>
    <n v="0"/>
    <n v="0"/>
    <n v="18502"/>
    <s v="355299983628636"/>
    <n v="-2"/>
  </r>
  <r>
    <x v="1"/>
    <x v="1"/>
    <x v="9"/>
    <s v="MT/ACB/497"/>
    <s v="08/04/2026"/>
    <s v="A176BN(A17 5G-8/256GB) BLUE:SAMSUNG:MOBILE"/>
    <n v="1"/>
    <n v="23000"/>
    <n v="0"/>
    <n v="0"/>
    <n v="21968"/>
    <s v="350037991459429"/>
    <n v="1032"/>
  </r>
  <r>
    <x v="1"/>
    <x v="1"/>
    <x v="9"/>
    <s v="MT/ACB/511"/>
    <s v="08/04/2026"/>
    <s v="S931BC(S25-12/256GB) ICY BLUE:SAMSUNG:MOBILE"/>
    <n v="1"/>
    <n v="74300"/>
    <n v="0"/>
    <n v="0"/>
    <n v="76093"/>
    <s v="358410184701265"/>
    <n v="-1793"/>
  </r>
  <r>
    <x v="1"/>
    <x v="1"/>
    <x v="9"/>
    <s v="MT/ACB/560"/>
    <s v="09/04/2026"/>
    <s v="A566EG(A56 5G-8/256GB) AWESOME GRAPHITE:SAMSUNG:MOBILE"/>
    <n v="1"/>
    <n v="41500"/>
    <n v="0"/>
    <n v="0"/>
    <n v="40614"/>
    <s v="351300533411566"/>
    <n v="886"/>
  </r>
  <r>
    <x v="1"/>
    <x v="1"/>
    <x v="9"/>
    <s v="MT/ACB/572"/>
    <s v="09/04/2026"/>
    <s v="E176BA(F17 5G-4/128GB) NEO BLACK:SAMSUNG:MOBILE"/>
    <n v="1"/>
    <n v="16000"/>
    <n v="0"/>
    <n v="0"/>
    <n v="15956"/>
    <s v="350133667037357"/>
    <n v="44"/>
  </r>
  <r>
    <x v="1"/>
    <x v="1"/>
    <x v="9"/>
    <s v="MT/ACB/580"/>
    <s v="09/04/2026"/>
    <s v="A366EJ(A36 5G-8/128GB) AWESOME BLACK:SAMSUNG:MOBILE"/>
    <n v="1"/>
    <n v="29500"/>
    <n v="0"/>
    <n v="0"/>
    <n v="29332"/>
    <s v="357178227603175"/>
    <n v="168"/>
  </r>
  <r>
    <x v="1"/>
    <x v="1"/>
    <x v="9"/>
    <s v="MT/ACB/606"/>
    <s v="09/04/2026"/>
    <s v="A176NL(A17 5G-6/128GB) W/O TA BLACK:SAMSUNG:MOBILE(T.VALUE)"/>
    <n v="1"/>
    <n v="18000"/>
    <n v="0"/>
    <n v="0"/>
    <n v="17528"/>
    <s v="355299981322943"/>
    <n v="472"/>
  </r>
  <r>
    <x v="1"/>
    <x v="1"/>
    <x v="9"/>
    <s v="MT/ACB/609"/>
    <s v="09/04/2026"/>
    <s v="S948BC(S26 ULTRA-12/512GB) SKY BLUE:SAMSUNG:MOBILE(T.VALUE)"/>
    <n v="1"/>
    <n v="136000"/>
    <n v="0"/>
    <n v="0"/>
    <n v="132035"/>
    <s v="352425610225198"/>
    <n v="3965"/>
  </r>
  <r>
    <x v="1"/>
    <x v="1"/>
    <x v="9"/>
    <s v="MT/ACB/692"/>
    <s v="11/04/2026"/>
    <s v="A176NL(A17 5G-6/128GB) W/O TA GRAY:SAMSUNG:MOBILE"/>
    <n v="1"/>
    <n v="20500"/>
    <n v="0"/>
    <n v="0"/>
    <n v="19404"/>
    <s v="355299983716688"/>
    <n v="1096"/>
  </r>
  <r>
    <x v="1"/>
    <x v="1"/>
    <x v="9"/>
    <s v="MT/ACB/710"/>
    <s v="11/04/2026"/>
    <s v="A076BB(A07 5G-4/128GB) LIGHT GREEN:SAMSUNG:MOBILE"/>
    <n v="1"/>
    <n v="16000"/>
    <n v="0"/>
    <n v="0"/>
    <n v="14891"/>
    <s v="359695532607029"/>
    <n v="1109"/>
  </r>
  <r>
    <x v="2"/>
    <x v="0"/>
    <x v="8"/>
    <s v="MT/GDRB/34"/>
    <s v="02/04/2026"/>
    <s v="IPHONE 17(256GB) MIST BLUE:APPLE:MOBILE"/>
    <n v="1"/>
    <n v="82900"/>
    <n v="0"/>
    <n v="0"/>
    <n v="80397"/>
    <s v="358158216012116"/>
    <n v="2503"/>
  </r>
  <r>
    <x v="2"/>
    <x v="0"/>
    <x v="8"/>
    <s v="MT/GDRB/52"/>
    <s v="02/04/2026"/>
    <s v="IPHONE 17(256GB) WHITE:APPLE:MOBILE"/>
    <n v="1"/>
    <n v="82900"/>
    <n v="0"/>
    <n v="0"/>
    <n v="80397"/>
    <s v="357488876949708"/>
    <n v="2503"/>
  </r>
  <r>
    <x v="2"/>
    <x v="0"/>
    <x v="8"/>
    <s v="MT/GDRB/315"/>
    <s v="10/04/2026"/>
    <s v="IPHONE 17 PRO MAX(256GB) COSMIC ORANGE:APPLE:MOBILE"/>
    <n v="1"/>
    <n v="149000"/>
    <n v="0"/>
    <n v="0"/>
    <n v="145373"/>
    <s v="353927619353342"/>
    <n v="3627"/>
  </r>
  <r>
    <x v="2"/>
    <x v="0"/>
    <x v="8"/>
    <s v="MT/GDRB/316"/>
    <s v="10/04/2026"/>
    <s v="IPHONE 17 PRO MAX(256GB) COSMIC ORANGE:APPLE:MOBILE"/>
    <n v="1"/>
    <n v="149000"/>
    <n v="0"/>
    <n v="0"/>
    <n v="145373"/>
    <s v="353927619832535"/>
    <n v="3627"/>
  </r>
  <r>
    <x v="2"/>
    <x v="0"/>
    <x v="3"/>
    <s v="MT/GDRB/28"/>
    <s v="01/04/2026"/>
    <s v="MOTO G35 (4/128GB) LEAF GREEN:MOTOROLA:MOBILE"/>
    <n v="1"/>
    <n v="11600"/>
    <n v="0"/>
    <n v="0"/>
    <n v="11654"/>
    <s v="358557215884575"/>
    <n v="-54"/>
  </r>
  <r>
    <x v="2"/>
    <x v="0"/>
    <x v="3"/>
    <s v="MT/GDRB/5"/>
    <s v="01/04/2026"/>
    <s v="MOTO G57 (8/128GB) PANTONE REGATTA:MOTOROLA:MOBILE"/>
    <n v="1"/>
    <n v="14999"/>
    <n v="0"/>
    <n v="0"/>
    <n v="14568"/>
    <s v="359006539721435"/>
    <n v="431"/>
  </r>
  <r>
    <x v="2"/>
    <x v="0"/>
    <x v="3"/>
    <s v="MT/GDRB/47"/>
    <s v="02/04/2026"/>
    <s v="MOTO EDGE 70 FUSION (12/256GB) COUNTRY AIR:MOTOROLA:MOBILE"/>
    <n v="1"/>
    <n v="32999"/>
    <n v="0"/>
    <n v="0"/>
    <n v="31748"/>
    <s v="353324451023417"/>
    <n v="1251"/>
  </r>
  <r>
    <x v="2"/>
    <x v="0"/>
    <x v="3"/>
    <s v="MT/GDRB/60"/>
    <s v="03/04/2026"/>
    <s v="MOTO EDGE 70 (8/256GB) BRONZE GREEN:MOTOROLA:MOBILE"/>
    <n v="1"/>
    <n v="28500"/>
    <n v="0"/>
    <n v="0"/>
    <n v="28862"/>
    <s v="355062882155352"/>
    <n v="-362"/>
  </r>
  <r>
    <x v="2"/>
    <x v="0"/>
    <x v="3"/>
    <s v="MT/GDRB/66"/>
    <s v="03/04/2026"/>
    <s v="MOTO G45 (8/128GB) DAHILA PURPPLE:MOTOROLA:MOBILE"/>
    <n v="1"/>
    <n v="12600"/>
    <n v="0"/>
    <n v="0"/>
    <n v="12626"/>
    <s v="353545922620098"/>
    <n v="-26"/>
  </r>
  <r>
    <x v="2"/>
    <x v="0"/>
    <x v="3"/>
    <s v="MT/GDRB/73"/>
    <s v="03/04/2026"/>
    <s v="MOTO G57 (8/128GB) PANTONE FLUIDITY:MOTOROLA:MOBILE"/>
    <n v="1"/>
    <n v="14699"/>
    <n v="0"/>
    <n v="0"/>
    <n v="14568"/>
    <s v="357355572918610"/>
    <n v="131"/>
  </r>
  <r>
    <x v="2"/>
    <x v="0"/>
    <x v="3"/>
    <s v="MT/GDRB/90"/>
    <s v="04/04/2026"/>
    <s v="MOTO G67 POWER (8/128GB) CILANTRO:MOTOROLA:MOBILE"/>
    <n v="1"/>
    <n v="17000"/>
    <n v="0"/>
    <n v="0"/>
    <n v="16511"/>
    <s v="356231213515837"/>
    <n v="489"/>
  </r>
  <r>
    <x v="2"/>
    <x v="0"/>
    <x v="3"/>
    <s v="MT/GDRB/117"/>
    <s v="05/04/2026"/>
    <s v="MOTO EDGE 70 FUSION (8/256GB) COUNTRY AIR:MOTOROLA:MOBILE"/>
    <n v="1"/>
    <n v="29999"/>
    <n v="0"/>
    <n v="0"/>
    <n v="28862"/>
    <s v="357279952196110"/>
    <n v="1137"/>
  </r>
  <r>
    <x v="2"/>
    <x v="0"/>
    <x v="3"/>
    <s v="MT/GDRB/119"/>
    <s v="05/04/2026"/>
    <s v="MOTO EDGE 60 FUSION (8/128GB) AMAZONITE:MOTOROLA:MOBILE"/>
    <n v="1"/>
    <n v="20000"/>
    <n v="0"/>
    <n v="0"/>
    <n v="20203"/>
    <s v="351587387265656"/>
    <n v="-203"/>
  </r>
  <r>
    <x v="2"/>
    <x v="0"/>
    <x v="3"/>
    <s v="MT/GDRB/211"/>
    <s v="08/04/2026"/>
    <s v="MOTO EDGE 70 FUSION (8/128GB) COUNTRY AIR:MOTOROLA:MOBILE"/>
    <n v="1"/>
    <n v="26999"/>
    <n v="0"/>
    <n v="0"/>
    <n v="25975"/>
    <s v="357279952993896"/>
    <n v="1024"/>
  </r>
  <r>
    <x v="2"/>
    <x v="0"/>
    <x v="3"/>
    <s v="MT/GDRB/242"/>
    <s v="08/04/2026"/>
    <s v="MOTO EDGE 70 FUSION (12/256GB) BLUE SURF:MOTOROLA:MOBILE"/>
    <n v="1"/>
    <n v="32000"/>
    <n v="0"/>
    <n v="0"/>
    <n v="31748"/>
    <s v="357279950986975"/>
    <n v="252"/>
  </r>
  <r>
    <x v="2"/>
    <x v="0"/>
    <x v="3"/>
    <s v="MT/GDRB/274"/>
    <s v="09/04/2026"/>
    <s v="MOTO G35 (4/128GB) MIDNIGHT BLACK:MOTOROLA:MOBILE"/>
    <n v="1"/>
    <n v="12000"/>
    <n v="0"/>
    <n v="0"/>
    <n v="12140"/>
    <s v="358557214772193"/>
    <n v="-140"/>
  </r>
  <r>
    <x v="2"/>
    <x v="0"/>
    <x v="3"/>
    <s v="MT/GDRB/301"/>
    <s v="10/04/2026"/>
    <s v="MOTO G57 (8/128GB) PANTONE CORSAIR:MOTOROLA:MOBILE"/>
    <n v="1"/>
    <n v="15500"/>
    <n v="0"/>
    <n v="0"/>
    <n v="15540"/>
    <s v="357355576671553"/>
    <n v="-40"/>
  </r>
  <r>
    <x v="2"/>
    <x v="0"/>
    <x v="3"/>
    <s v="MT/GDRB/302"/>
    <s v="10/04/2026"/>
    <s v="MOTO G57 (8/128GB) PANTONE CORSAIR:MOTOROLA:MOBILE"/>
    <n v="1"/>
    <n v="15500"/>
    <n v="0"/>
    <n v="0"/>
    <n v="15540"/>
    <s v="357355576668070"/>
    <n v="-40"/>
  </r>
  <r>
    <x v="2"/>
    <x v="0"/>
    <x v="3"/>
    <s v="MT/GDRB/325"/>
    <s v="11/04/2026"/>
    <s v="MOTO G67 POWER (8/128GB) PARACHUTE:MOTOROLA:MOBILE"/>
    <n v="1"/>
    <n v="16999"/>
    <n v="0"/>
    <n v="0"/>
    <n v="16511"/>
    <s v="356944974358938"/>
    <n v="488"/>
  </r>
  <r>
    <x v="2"/>
    <x v="0"/>
    <x v="2"/>
    <s v="MT/GDRB/18"/>
    <s v="01/04/2026"/>
    <s v="NORD 5 (8/256GB) PHANTOM GREY:ONE PLUS:MOBILE"/>
    <n v="1"/>
    <n v="33200"/>
    <n v="0"/>
    <n v="0"/>
    <n v="33129"/>
    <s v="869066074572737"/>
    <n v="71"/>
  </r>
  <r>
    <x v="2"/>
    <x v="0"/>
    <x v="10"/>
    <s v="MT/GDRB/151"/>
    <s v="06/04/2026"/>
    <s v="C85X (4/64GB) EMERALD GREEN:POCO:MOBILE"/>
    <n v="1"/>
    <n v="11000"/>
    <n v="0"/>
    <n v="0"/>
    <n v="10807"/>
    <s v="864960082296500"/>
    <n v="193"/>
  </r>
  <r>
    <x v="2"/>
    <x v="0"/>
    <x v="10"/>
    <s v="MT/GDRB/288"/>
    <s v="09/04/2026"/>
    <s v="C85X (4/64GB) EMERALD GREEN:POCO:MOBILE"/>
    <n v="1"/>
    <n v="11000"/>
    <n v="0"/>
    <n v="0"/>
    <n v="10807"/>
    <s v="864960082593427"/>
    <n v="193"/>
  </r>
  <r>
    <x v="2"/>
    <x v="0"/>
    <x v="4"/>
    <s v="MT/GDRB/112"/>
    <s v="05/04/2026"/>
    <s v="16 5G (8/128GB) AIR WHITE:REALME:MOBILE"/>
    <n v="1"/>
    <n v="30500"/>
    <n v="0"/>
    <n v="0"/>
    <n v="29186"/>
    <s v="866389080114531"/>
    <n v="1314"/>
  </r>
  <r>
    <x v="2"/>
    <x v="0"/>
    <x v="9"/>
    <s v="MT/GDRB/23"/>
    <s v="01/04/2026"/>
    <s v="A366EJ(A36 5G-8/128GB) AWESOME WHITE:SAMSUNG:MOBILE"/>
    <n v="1"/>
    <n v="32499"/>
    <n v="0"/>
    <n v="0"/>
    <n v="29332"/>
    <s v="357178227534784"/>
    <n v="3167"/>
  </r>
  <r>
    <x v="2"/>
    <x v="0"/>
    <x v="9"/>
    <s v="MT/GDRB/304"/>
    <s v="10/04/2026"/>
    <s v="A176BN(A17 5G-8/256GB) BLUE:SAMSUNG:MOBILE"/>
    <n v="1"/>
    <n v="21700"/>
    <n v="0"/>
    <n v="0"/>
    <n v="21968"/>
    <s v="350037990278853"/>
    <n v="-268"/>
  </r>
  <r>
    <x v="2"/>
    <x v="0"/>
    <x v="9"/>
    <s v="MT/GDRB/308"/>
    <s v="10/04/2026"/>
    <s v="A176BN(A17 5G-8/256GB) BLUE:SAMSUNG:MOBILE"/>
    <n v="1"/>
    <n v="22000"/>
    <n v="0"/>
    <n v="0"/>
    <n v="21968"/>
    <s v="350037990172320"/>
    <n v="32"/>
  </r>
  <r>
    <x v="2"/>
    <x v="0"/>
    <x v="9"/>
    <s v="MT/GDRB/326"/>
    <s v="11/04/2026"/>
    <s v="A176NM(A17 5G-8/128GB) W/O TA BLACK:SAMSUNG:MOBILE"/>
    <n v="1"/>
    <n v="21600"/>
    <n v="0"/>
    <n v="0"/>
    <n v="21209"/>
    <s v="356137745501528"/>
    <n v="391"/>
  </r>
  <r>
    <x v="2"/>
    <x v="0"/>
    <x v="6"/>
    <s v="MT/GDRB/1"/>
    <s v="01/04/2026"/>
    <s v="Y300 5G (8/256GB) EMERALD GREEN:VIVO:MOBILE"/>
    <n v="1"/>
    <n v="22000"/>
    <n v="0"/>
    <n v="0"/>
    <n v="21563"/>
    <s v="864890071584550"/>
    <n v="437"/>
  </r>
  <r>
    <x v="2"/>
    <x v="0"/>
    <x v="6"/>
    <s v="MT/GDRB/6"/>
    <s v="01/04/2026"/>
    <s v="Y400 PRO (8/256GB) NEMBULA PURPLE:VIVO:MOBILE"/>
    <n v="1"/>
    <n v="27000"/>
    <n v="0"/>
    <n v="0"/>
    <n v="25878"/>
    <s v="868165070318755"/>
    <n v="1122"/>
  </r>
  <r>
    <x v="2"/>
    <x v="0"/>
    <x v="6"/>
    <s v="MT/GDRB/7"/>
    <s v="01/04/2026"/>
    <s v="Y51 PRO 5G (8/128GB) NOBLE GOLD:VIVO:MOBILE"/>
    <n v="1"/>
    <n v="23000"/>
    <n v="0"/>
    <n v="0"/>
    <n v="23147"/>
    <s v="864155085213251"/>
    <n v="-147"/>
  </r>
  <r>
    <x v="2"/>
    <x v="0"/>
    <x v="6"/>
    <s v="MT/GDRB/36"/>
    <s v="02/04/2026"/>
    <s v="Y21 5G (4/128GB) MIDNIGHT BLUE:VIVO:MOBILE"/>
    <n v="1"/>
    <n v="17500"/>
    <n v="0"/>
    <n v="0"/>
    <n v="17482"/>
    <s v="869636086422251"/>
    <n v="18"/>
  </r>
  <r>
    <x v="2"/>
    <x v="0"/>
    <x v="6"/>
    <s v="MT/GDRB/43"/>
    <s v="02/04/2026"/>
    <s v="T5X 5G (6/128GB) CYBER GREEN:VIVO:MOBILE"/>
    <n v="1"/>
    <n v="18500"/>
    <n v="0"/>
    <n v="0"/>
    <n v="18320"/>
    <s v="863204086854936"/>
    <n v="180"/>
  </r>
  <r>
    <x v="2"/>
    <x v="0"/>
    <x v="6"/>
    <s v="MT/GDRB/65"/>
    <s v="03/04/2026"/>
    <s v="V70 5G (8/256GB) PASSION RED:VIVO:MOBILE"/>
    <n v="1"/>
    <n v="41500"/>
    <n v="0"/>
    <n v="0"/>
    <n v="42253"/>
    <s v="861636081703059"/>
    <n v="-753"/>
  </r>
  <r>
    <x v="2"/>
    <x v="0"/>
    <x v="6"/>
    <s v="MT/GDRB/76"/>
    <s v="03/04/2026"/>
    <s v="V70 ELITE 5G (12/256GB) SAND BEIGE:VIVO:MOBILE"/>
    <n v="1"/>
    <n v="51699"/>
    <n v="0"/>
    <n v="0"/>
    <n v="52279"/>
    <s v="864253088194097"/>
    <n v="-580"/>
  </r>
  <r>
    <x v="2"/>
    <x v="0"/>
    <x v="6"/>
    <s v="MT/GDRB/102"/>
    <s v="04/04/2026"/>
    <s v="V70 ELITE 5G (12/256GB) PASSION RED:VIVO:MOBILE"/>
    <n v="1"/>
    <n v="51500"/>
    <n v="0"/>
    <n v="0"/>
    <n v="52279"/>
    <s v="864253086260536"/>
    <n v="-779"/>
  </r>
  <r>
    <x v="2"/>
    <x v="0"/>
    <x v="6"/>
    <s v="MT/GDRB/105"/>
    <s v="04/04/2026"/>
    <s v="V70 ELITE 5G (8/256GB) AUTHENTIC BLACK:VIVO:MOBILE"/>
    <n v="1"/>
    <n v="47701"/>
    <n v="0"/>
    <n v="0"/>
    <n v="47689"/>
    <s v="864253084287036"/>
    <n v="12"/>
  </r>
  <r>
    <x v="2"/>
    <x v="0"/>
    <x v="6"/>
    <s v="MT/GDRB/87"/>
    <s v="04/04/2026"/>
    <s v="Y11 5G (4/128GB) SUNRISE GOLD:VIVO:MOBILE"/>
    <n v="1"/>
    <n v="15500"/>
    <n v="0"/>
    <n v="0"/>
    <n v="15847"/>
    <s v="864001084380719"/>
    <n v="-347"/>
  </r>
  <r>
    <x v="2"/>
    <x v="0"/>
    <x v="6"/>
    <s v="MT/GDRB/89"/>
    <s v="04/04/2026"/>
    <s v="Y400 5G (8/128GB) GLAM WHITE:VIVO:MOBILE"/>
    <n v="1"/>
    <n v="24000"/>
    <n v="0"/>
    <n v="0"/>
    <n v="23990"/>
    <s v="868526074853859"/>
    <n v="10"/>
  </r>
  <r>
    <x v="2"/>
    <x v="0"/>
    <x v="6"/>
    <s v="MT/GDRB/92"/>
    <s v="04/04/2026"/>
    <s v="Y51 PRO 5G (8/128GB) NOBLE GOLD:VIVO:MOBILE"/>
    <n v="1"/>
    <n v="24158"/>
    <n v="0"/>
    <n v="0"/>
    <n v="23147"/>
    <s v="864155084875373"/>
    <n v="1011"/>
  </r>
  <r>
    <x v="2"/>
    <x v="0"/>
    <x v="6"/>
    <s v="MT/GDRB/97"/>
    <s v="04/04/2026"/>
    <s v="X300 5G (12/256GB) SUMMIT RED:VIVO:MOBILE"/>
    <n v="1"/>
    <n v="71000"/>
    <n v="0"/>
    <n v="0"/>
    <n v="69202"/>
    <s v="867203082076433"/>
    <n v="1798"/>
  </r>
  <r>
    <x v="2"/>
    <x v="0"/>
    <x v="6"/>
    <s v="MT/GDRB/99"/>
    <s v="04/04/2026"/>
    <s v="Y31 5G (6/128GB) DIAMOND GREEN:VIVO:MOBILE"/>
    <n v="1"/>
    <n v="20611"/>
    <n v="0"/>
    <n v="0"/>
    <n v="19370"/>
    <s v="866150081194207"/>
    <n v="1241"/>
  </r>
  <r>
    <x v="2"/>
    <x v="0"/>
    <x v="6"/>
    <s v="MT/GDRB/110"/>
    <s v="05/04/2026"/>
    <s v="Y11 5G (4/64GB) MIDNIGHT BLUE:VIVO:MOBILE"/>
    <n v="1"/>
    <n v="14000"/>
    <n v="0"/>
    <n v="0"/>
    <n v="14010"/>
    <s v="864001084551434"/>
    <n v="-10"/>
  </r>
  <r>
    <x v="2"/>
    <x v="0"/>
    <x v="6"/>
    <s v="MT/GDRB/146"/>
    <s v="06/04/2026"/>
    <s v="Y19E (4/64GB) MAJESTIC GREEN:VIVO:MOBILE"/>
    <n v="1"/>
    <n v="9600"/>
    <n v="0"/>
    <n v="0"/>
    <n v="9439"/>
    <s v="868237074932863"/>
    <n v="161"/>
  </r>
  <r>
    <x v="2"/>
    <x v="0"/>
    <x v="6"/>
    <s v="MT/GDRB/150"/>
    <s v="06/04/2026"/>
    <s v="V70 5G (8/256GB) PASSION RED:VIVO:MOBILE"/>
    <n v="1"/>
    <n v="43000"/>
    <n v="0"/>
    <n v="0"/>
    <n v="42253"/>
    <s v="861636081438110"/>
    <n v="747"/>
  </r>
  <r>
    <x v="2"/>
    <x v="0"/>
    <x v="6"/>
    <s v="MT/GDRB/184"/>
    <s v="08/04/2026"/>
    <s v="Y21 5G (4/128GB) MIDNIGHT BLUE:VIVO:MOBILE"/>
    <n v="1"/>
    <n v="17852"/>
    <n v="0"/>
    <n v="0"/>
    <n v="17482"/>
    <s v="869636084552018"/>
    <n v="370"/>
  </r>
  <r>
    <x v="2"/>
    <x v="0"/>
    <x v="6"/>
    <s v="MT/GDRB/186"/>
    <s v="08/04/2026"/>
    <s v="V70 FE 5G (8/256GB) MONSOON BLUE:VIVO:MOBILE"/>
    <n v="1"/>
    <n v="38499"/>
    <n v="0"/>
    <n v="0"/>
    <n v="37663"/>
    <s v="861130087506351"/>
    <n v="836"/>
  </r>
  <r>
    <x v="2"/>
    <x v="0"/>
    <x v="6"/>
    <s v="MT/GDRB/210"/>
    <s v="08/04/2026"/>
    <s v="Y11 5G (4/64GB) SUNRISE GOLD:VIVO:MOBILE"/>
    <n v="1"/>
    <n v="14000"/>
    <n v="0"/>
    <n v="0"/>
    <n v="14010"/>
    <s v="864001083450877"/>
    <n v="-10"/>
  </r>
  <r>
    <x v="2"/>
    <x v="0"/>
    <x v="6"/>
    <s v="MT/GDRB/227"/>
    <s v="08/04/2026"/>
    <s v="Y19E (4/64GB) TITANIUM SILVER:VIVO:MOBILE"/>
    <n v="1"/>
    <n v="9500"/>
    <n v="0"/>
    <n v="0"/>
    <n v="9439"/>
    <s v="868237073450222"/>
    <n v="61"/>
  </r>
  <r>
    <x v="2"/>
    <x v="0"/>
    <x v="6"/>
    <s v="MT/GDRB/230"/>
    <s v="08/04/2026"/>
    <s v="V70 FE 5G (8/128GB) NORTHERN LIGHTS PURPLE:VIVO:MOBILE"/>
    <n v="1"/>
    <n v="34499"/>
    <n v="0"/>
    <n v="0"/>
    <n v="35123"/>
    <s v="861130087314210"/>
    <n v="-624"/>
  </r>
  <r>
    <x v="2"/>
    <x v="0"/>
    <x v="6"/>
    <s v="MT/GDRB/233"/>
    <s v="08/04/2026"/>
    <s v="Y11 5G (4/64GB) SUNRISE GOLD:VIVO:MOBILE"/>
    <n v="1"/>
    <n v="14200"/>
    <n v="0"/>
    <n v="0"/>
    <n v="14010"/>
    <s v="864001083454994"/>
    <n v="190"/>
  </r>
  <r>
    <x v="2"/>
    <x v="0"/>
    <x v="6"/>
    <s v="MT/GDRB/249"/>
    <s v="08/04/2026"/>
    <s v="X300 5G (12/256GB) SUMMIT RED:VIVO:MOBILE"/>
    <n v="1"/>
    <n v="70499"/>
    <n v="0"/>
    <n v="0"/>
    <n v="69202"/>
    <s v="867203082108715"/>
    <n v="1297"/>
  </r>
  <r>
    <x v="2"/>
    <x v="0"/>
    <x v="6"/>
    <s v="MT/GDRB/255"/>
    <s v="09/04/2026"/>
    <s v="Y51 PRO 5G (8/128GB) FESTIVE RED:VIVO:MOBILE"/>
    <n v="1"/>
    <n v="23500"/>
    <n v="0"/>
    <n v="0"/>
    <n v="23147"/>
    <s v="864155083734498"/>
    <n v="353"/>
  </r>
  <r>
    <x v="2"/>
    <x v="0"/>
    <x v="6"/>
    <s v="MT/GDRB/282"/>
    <s v="09/04/2026"/>
    <s v="Y31 5G (4/128GB) DIAMOND GREEN:VIVO:MOBILE"/>
    <n v="1"/>
    <n v="17100"/>
    <n v="0"/>
    <n v="0"/>
    <n v="17482"/>
    <s v="866150081912145"/>
    <n v="-382"/>
  </r>
  <r>
    <x v="2"/>
    <x v="0"/>
    <x v="6"/>
    <s v="MT/GDRB/293"/>
    <s v="10/04/2026"/>
    <s v="Y11 5G (4/64GB) SUNRISE GOLD:VIVO:MOBILE"/>
    <n v="1"/>
    <n v="13800"/>
    <n v="0"/>
    <n v="0"/>
    <n v="14010"/>
    <s v="864001083768070"/>
    <n v="-210"/>
  </r>
  <r>
    <x v="2"/>
    <x v="0"/>
    <x v="6"/>
    <s v="MT/GDRB/299"/>
    <s v="10/04/2026"/>
    <s v="Y11 5G (4/64GB) SUNRISE GOLD:VIVO:MOBILE"/>
    <n v="1"/>
    <n v="13500"/>
    <n v="0"/>
    <n v="0"/>
    <n v="14010"/>
    <s v="864001082252373"/>
    <n v="-510"/>
  </r>
  <r>
    <x v="2"/>
    <x v="0"/>
    <x v="6"/>
    <s v="MT/GDRB/339"/>
    <s v="11/04/2026"/>
    <s v="Y31 5G (6/128GB) DIAMOND GREEN:VIVO:MOBILE"/>
    <n v="1"/>
    <n v="20000"/>
    <n v="0"/>
    <n v="0"/>
    <n v="19370"/>
    <s v="861135083767642"/>
    <n v="630"/>
  </r>
  <r>
    <x v="2"/>
    <x v="0"/>
    <x v="7"/>
    <s v="MT/GDRB/139"/>
    <s v="06/04/2026"/>
    <s v="REDMI 15A 5G (4/128GB) AWESOME BLUE:XIAOMI:MOBILE"/>
    <n v="1"/>
    <n v="13200"/>
    <n v="0"/>
    <n v="0"/>
    <n v="13539"/>
    <s v="866938081860482"/>
    <n v="-339"/>
  </r>
  <r>
    <x v="2"/>
    <x v="0"/>
    <x v="7"/>
    <s v="MT/GDRB/213"/>
    <s v="08/04/2026"/>
    <s v="REDMI NOTE 15 5G (8/128GB) BLACK:XIAOMI:MOBILE"/>
    <n v="1"/>
    <n v="24000"/>
    <n v="0"/>
    <n v="0"/>
    <n v="23090"/>
    <s v="868495074473961"/>
    <n v="910"/>
  </r>
  <r>
    <x v="2"/>
    <x v="0"/>
    <x v="7"/>
    <s v="MT/GDRB/286"/>
    <s v="09/04/2026"/>
    <s v="REDMI NOTE 15 5G (8/128GB) GLACIER BLUE:XIAOMI:MOBILE"/>
    <n v="1"/>
    <n v="24000"/>
    <n v="0"/>
    <n v="0"/>
    <n v="23090"/>
    <s v="868495076413924"/>
    <n v="910"/>
  </r>
  <r>
    <x v="2"/>
    <x v="0"/>
    <x v="7"/>
    <s v="MT/GDRB/334"/>
    <s v="11/04/2026"/>
    <s v="REDMI 15A 5G (4/64GB) AWESOME BLUE:XIAOMI:MOBILE"/>
    <n v="1"/>
    <n v="11800"/>
    <n v="0"/>
    <n v="0"/>
    <n v="12123"/>
    <s v="866938083547822"/>
    <n v="-323"/>
  </r>
  <r>
    <x v="3"/>
    <x v="1"/>
    <x v="3"/>
    <s v="MT/ACB/369"/>
    <s v="06/04/2026"/>
    <s v="MOTO G67 POWER (8/128GB) CILANTRO:MOTOROLA:MOBILE"/>
    <n v="1"/>
    <n v="16500"/>
    <n v="0"/>
    <n v="0"/>
    <n v="16511"/>
    <s v="356944973487738"/>
    <n v="-11"/>
  </r>
  <r>
    <x v="3"/>
    <x v="1"/>
    <x v="3"/>
    <s v="MT/ACB/592"/>
    <s v="09/04/2026"/>
    <s v="MOTO EDGE 70 FUSION (8/128GB) COUNTRY AIR:MOTOROLA:MOBILE"/>
    <n v="1"/>
    <n v="26000"/>
    <n v="0"/>
    <n v="0"/>
    <n v="25975"/>
    <s v="357279952988771"/>
    <n v="25"/>
  </r>
  <r>
    <x v="3"/>
    <x v="1"/>
    <x v="3"/>
    <s v="MT/ACB/665"/>
    <s v="10/04/2026"/>
    <s v="MOTO G57 (8/128GB) PANTONE CORSAIR:MOTOROLA:MOBILE"/>
    <n v="1"/>
    <n v="15500"/>
    <n v="0"/>
    <n v="0"/>
    <n v="15540"/>
    <s v="357355576672494"/>
    <n v="-40"/>
  </r>
  <r>
    <x v="3"/>
    <x v="1"/>
    <x v="2"/>
    <s v="MT/ACB/489"/>
    <s v="08/04/2026"/>
    <s v="13S 5G(12/256GB) BLACK VELVET:ONE PLUS:MOBILE"/>
    <n v="1"/>
    <n v="52900"/>
    <n v="0"/>
    <n v="0"/>
    <n v="52026"/>
    <s v="860677073000196"/>
    <n v="874"/>
  </r>
  <r>
    <x v="3"/>
    <x v="1"/>
    <x v="11"/>
    <s v="MT/ACB/334"/>
    <s v="06/04/2026"/>
    <s v="RENO 15C 5G (8/256GB) AFTERGLOW PINK:OPPO:MOBILE"/>
    <n v="1"/>
    <n v="34800"/>
    <n v="0"/>
    <n v="0"/>
    <n v="34840"/>
    <s v="864052086756133"/>
    <n v="-40"/>
  </r>
  <r>
    <x v="3"/>
    <x v="1"/>
    <x v="11"/>
    <s v="MT/ACB/375"/>
    <s v="06/04/2026"/>
    <s v="RENO 15 PRO MINI 5G (12/256GB) GLACIER WHITE:OPPO:MOBILE"/>
    <n v="1"/>
    <n v="56000"/>
    <n v="0"/>
    <n v="0"/>
    <n v="54764"/>
    <s v="861143081987774"/>
    <n v="1236"/>
  </r>
  <r>
    <x v="3"/>
    <x v="1"/>
    <x v="4"/>
    <s v="MT/ACB/389"/>
    <s v="06/04/2026"/>
    <s v="16 PRO+ 5G (8/128GB) MASTER GOLD:REALME:MOBILE"/>
    <n v="1"/>
    <n v="40000"/>
    <n v="0"/>
    <n v="0"/>
    <n v="40131"/>
    <s v="865616081784115"/>
    <n v="-131"/>
  </r>
  <r>
    <x v="3"/>
    <x v="1"/>
    <x v="9"/>
    <s v="MT/ACB/1"/>
    <s v="01/04/2026"/>
    <s v="A176BN(A17 5G-8/256GB) BLUE:SAMSUNG:MOBILE"/>
    <n v="1"/>
    <n v="21999"/>
    <n v="0"/>
    <n v="0"/>
    <n v="21968"/>
    <s v="356276610747764"/>
    <n v="31"/>
  </r>
  <r>
    <x v="3"/>
    <x v="1"/>
    <x v="7"/>
    <s v="MT/ACB/379"/>
    <s v="06/04/2026"/>
    <s v="REDMI 15C 5G (6/128GB) DUSK PURPLE:XIAOMI:MOBILE"/>
    <n v="1"/>
    <n v="16200"/>
    <n v="0"/>
    <n v="0"/>
    <n v="16341"/>
    <s v="862554075314305"/>
    <n v="-141"/>
  </r>
  <r>
    <x v="3"/>
    <x v="1"/>
    <x v="7"/>
    <s v="MT/ACB/405"/>
    <s v="07/04/2026"/>
    <s v="REDMI NOTE 15 PRO+ (8/256GB) CARBON BLACK:XIAOMI:MOBILE"/>
    <n v="1"/>
    <n v="35000"/>
    <n v="0"/>
    <n v="0"/>
    <n v="34519"/>
    <s v="869616080726865"/>
    <n v="481"/>
  </r>
  <r>
    <x v="3"/>
    <x v="1"/>
    <x v="7"/>
    <s v="MT/ACB/421"/>
    <s v="07/04/2026"/>
    <s v="REDMI 15A 5G (4/128GB) ACE BLACK:XIAOMI:MOBILE"/>
    <n v="1"/>
    <n v="14000"/>
    <n v="0"/>
    <n v="0"/>
    <n v="13539"/>
    <s v="866938083094726"/>
    <n v="461"/>
  </r>
  <r>
    <x v="3"/>
    <x v="1"/>
    <x v="7"/>
    <s v="MT/ACB/468"/>
    <s v="08/04/2026"/>
    <s v="REDMI NOTE 15 PRO+ (12/512GB) COFFEE MOCHA:XIAOMI:MOBILE"/>
    <n v="1"/>
    <n v="42500"/>
    <n v="0"/>
    <n v="0"/>
    <n v="39970"/>
    <s v="869616081355763"/>
    <n v="2530"/>
  </r>
  <r>
    <x v="3"/>
    <x v="1"/>
    <x v="7"/>
    <s v="MT/ACB/490"/>
    <s v="08/04/2026"/>
    <s v="REDMI 15A 5G (4/128GB) AMAZE PURPLE:XIAOMI:MOBILE"/>
    <n v="1"/>
    <n v="13500"/>
    <n v="0"/>
    <n v="0"/>
    <n v="13539"/>
    <s v="866938081358024"/>
    <n v="-39"/>
  </r>
  <r>
    <x v="3"/>
    <x v="1"/>
    <x v="7"/>
    <s v="MT/ACB/527"/>
    <s v="08/04/2026"/>
    <s v="REDMI 15A 5G (4/128GB) AMAZE PURPLE:XIAOMI:MOBILE"/>
    <n v="1"/>
    <n v="13000"/>
    <n v="0"/>
    <n v="0"/>
    <n v="13539"/>
    <s v="866938081360483"/>
    <n v="-539"/>
  </r>
  <r>
    <x v="3"/>
    <x v="1"/>
    <x v="7"/>
    <s v="MT/ACB/533"/>
    <s v="08/04/2026"/>
    <s v="REDMI 15 5G (6/128GB) FROSTED WHITE:XIAOMI:MOBILE"/>
    <n v="1"/>
    <n v="17000"/>
    <n v="0"/>
    <n v="0"/>
    <n v="17274"/>
    <s v="862539082812847"/>
    <n v="-274"/>
  </r>
  <r>
    <x v="3"/>
    <x v="1"/>
    <x v="7"/>
    <s v="MT/ACB/605"/>
    <s v="09/04/2026"/>
    <s v="REDMI 15C 5G (6/128GB) DUSK PURPLE:XIAOMI:MOBILE"/>
    <n v="1"/>
    <n v="16500"/>
    <n v="0"/>
    <n v="0"/>
    <n v="16341"/>
    <s v="862554075425523"/>
    <n v="159"/>
  </r>
  <r>
    <x v="3"/>
    <x v="1"/>
    <x v="7"/>
    <s v="MT/ACB/727"/>
    <s v="11/04/2026"/>
    <s v="REDMI NOTE 15 5G (8/128GB) MIST PURPLE:XIAOMI:MOBILE"/>
    <n v="1"/>
    <n v="23000"/>
    <n v="0"/>
    <n v="0"/>
    <n v="23090"/>
    <s v="868495077770066"/>
    <n v="-90"/>
  </r>
  <r>
    <x v="4"/>
    <x v="1"/>
    <x v="8"/>
    <s v="MT/ACB/509"/>
    <s v="08/04/2026"/>
    <s v="IPHONE 16(128GB) WHITE:APPLE:MOBILE"/>
    <n v="1"/>
    <n v="69900"/>
    <n v="0"/>
    <n v="0"/>
    <n v="67789"/>
    <s v="356342310623372"/>
    <n v="2111"/>
  </r>
  <r>
    <x v="4"/>
    <x v="1"/>
    <x v="0"/>
    <s v="MT/ACB/71"/>
    <s v="01/04/2026"/>
    <s v="HOT 60 5G (6/128GB) TUNDRA GREEN:INFINIX:MOBILE"/>
    <n v="1"/>
    <n v="13400"/>
    <n v="0"/>
    <n v="0"/>
    <n v="13379"/>
    <s v="358168451517596"/>
    <n v="21"/>
  </r>
  <r>
    <x v="4"/>
    <x v="1"/>
    <x v="3"/>
    <s v="MT/ACB/20"/>
    <s v="01/04/2026"/>
    <s v="MOTO G57 (8/128GB) PANTONE REGATTA:MOTOROLA:MOBILE"/>
    <n v="1"/>
    <n v="14999"/>
    <n v="0"/>
    <n v="0"/>
    <n v="14568"/>
    <s v="359006539721757"/>
    <n v="431"/>
  </r>
  <r>
    <x v="4"/>
    <x v="1"/>
    <x v="3"/>
    <s v="MT/ACB/159"/>
    <s v="03/04/2026"/>
    <s v="MOTO EDGE 70 FUSION (8/256GB) COUNTRY AIR:MOTOROLA:MOBILE"/>
    <n v="1"/>
    <n v="29999"/>
    <n v="0"/>
    <n v="0"/>
    <n v="28862"/>
    <s v="357279952196631"/>
    <n v="1137"/>
  </r>
  <r>
    <x v="4"/>
    <x v="1"/>
    <x v="3"/>
    <s v="MT/ACB/185"/>
    <s v="03/04/2026"/>
    <s v="MOTO G67 POWER (8/128GB) PARACHUTE:MOTOROLA:MOBILE"/>
    <n v="1"/>
    <n v="17000"/>
    <n v="0"/>
    <n v="0"/>
    <n v="16511"/>
    <s v="356944974391616"/>
    <n v="489"/>
  </r>
  <r>
    <x v="4"/>
    <x v="1"/>
    <x v="3"/>
    <s v="MT/ACB/190"/>
    <s v="03/04/2026"/>
    <s v="MOTO EDGE 70 FUSION (8/256GB) COUNTRY AIR:MOTOROLA:MOBILE"/>
    <n v="1"/>
    <n v="29999"/>
    <n v="0"/>
    <n v="0"/>
    <n v="28862"/>
    <s v="357279952196938"/>
    <n v="1137"/>
  </r>
  <r>
    <x v="4"/>
    <x v="1"/>
    <x v="3"/>
    <s v="MT/ACB/197"/>
    <s v="03/04/2026"/>
    <s v="MOTO G35 (8/128GB) LEAF GREEN:MOTOROLA:MOBILE"/>
    <n v="1"/>
    <n v="12800"/>
    <n v="0"/>
    <n v="0"/>
    <n v="12626"/>
    <s v="358557219909857"/>
    <n v="174"/>
  </r>
  <r>
    <x v="4"/>
    <x v="1"/>
    <x v="3"/>
    <s v="MT/ACB/203"/>
    <s v="03/04/2026"/>
    <s v="MOTO G57 (8/128GB) PANTONE FLUIDITY:MOTOROLA:MOBILE"/>
    <n v="1"/>
    <n v="15000"/>
    <n v="0"/>
    <n v="0"/>
    <n v="14568"/>
    <s v="357355572919394"/>
    <n v="432"/>
  </r>
  <r>
    <x v="4"/>
    <x v="1"/>
    <x v="3"/>
    <s v="MT/ACB/229"/>
    <s v="04/04/2026"/>
    <s v="MOTO EDGE 70 FUSION (8/256GB) COUNTRY AIR:MOTOROLA:MOBILE"/>
    <n v="1"/>
    <n v="29500"/>
    <n v="0"/>
    <n v="0"/>
    <n v="28862"/>
    <s v="357279952199072"/>
    <n v="638"/>
  </r>
  <r>
    <x v="4"/>
    <x v="1"/>
    <x v="3"/>
    <s v="MT/ACB/241"/>
    <s v="04/04/2026"/>
    <s v="MOTO EDGE 70 FUSION (8/256GB) COUNTRY AIR:MOTOROLA:MOBILE"/>
    <n v="1"/>
    <n v="29500"/>
    <n v="0"/>
    <n v="0"/>
    <n v="28862"/>
    <s v="357279952198934"/>
    <n v="638"/>
  </r>
  <r>
    <x v="4"/>
    <x v="1"/>
    <x v="3"/>
    <s v="MT/ACB/259"/>
    <s v="05/04/2026"/>
    <s v="MOTO G67 POWER (8/128GB) CILANTRO:MOTOROLA:MOBILE"/>
    <n v="1"/>
    <n v="16999"/>
    <n v="0"/>
    <n v="0"/>
    <n v="16511"/>
    <s v="356231213231419"/>
    <n v="488"/>
  </r>
  <r>
    <x v="4"/>
    <x v="1"/>
    <x v="3"/>
    <s v="MT/ACB/263"/>
    <s v="05/04/2026"/>
    <s v="MOTO G57 (8/128GB) PANTONE FLUIDITY:MOTOROLA:MOBILE"/>
    <n v="1"/>
    <n v="14700"/>
    <n v="0"/>
    <n v="0"/>
    <n v="14568"/>
    <s v="357355572906599"/>
    <n v="132"/>
  </r>
  <r>
    <x v="4"/>
    <x v="1"/>
    <x v="3"/>
    <s v="MT/ACB/268"/>
    <s v="05/04/2026"/>
    <s v="MOTO G35 (4/128GB) MIDNIGHT BLACK:MOTOROLA:MOBILE"/>
    <n v="1"/>
    <n v="11999"/>
    <n v="0"/>
    <n v="0"/>
    <n v="11654"/>
    <s v="358557214779057"/>
    <n v="345"/>
  </r>
  <r>
    <x v="4"/>
    <x v="1"/>
    <x v="3"/>
    <s v="MT/ACB/288"/>
    <s v="05/04/2026"/>
    <s v="MOTO G86 (8/128GB) PANTONE COSMIC SKY:MOTOROLA:MOBILE"/>
    <n v="1"/>
    <n v="17999"/>
    <n v="0"/>
    <n v="0"/>
    <n v="17482"/>
    <s v="354510965203938"/>
    <n v="517"/>
  </r>
  <r>
    <x v="4"/>
    <x v="1"/>
    <x v="3"/>
    <s v="MT/ACB/299"/>
    <s v="05/04/2026"/>
    <s v="MOTO G96 (8/128GB) DRESDEN BLUE:MOTOROLA:MOBILE"/>
    <n v="1"/>
    <n v="18500"/>
    <n v="0"/>
    <n v="0"/>
    <n v="18454"/>
    <s v="354080687115596"/>
    <n v="46"/>
  </r>
  <r>
    <x v="4"/>
    <x v="1"/>
    <x v="3"/>
    <s v="MT/ACB/305"/>
    <s v="05/04/2026"/>
    <s v="MOTO EDGE 60 FUSION (8/128GB) SLIPSTREAM:MOTOROLA:MOBILE"/>
    <n v="1"/>
    <n v="20500"/>
    <n v="0"/>
    <n v="0"/>
    <n v="20203"/>
    <s v="354845692358773"/>
    <n v="297"/>
  </r>
  <r>
    <x v="4"/>
    <x v="1"/>
    <x v="3"/>
    <s v="MT/ACB/488"/>
    <s v="08/04/2026"/>
    <s v="MOTO G57 (8/128GB) PANTONE CORSAIR:MOTOROLA:MOBILE"/>
    <n v="1"/>
    <n v="15500"/>
    <n v="0"/>
    <n v="0"/>
    <n v="15540"/>
    <s v="357355576668476"/>
    <n v="-40"/>
  </r>
  <r>
    <x v="4"/>
    <x v="1"/>
    <x v="3"/>
    <s v="MT/ACB/525"/>
    <s v="08/04/2026"/>
    <s v="MOTO EDGE 70 FUSION (12/256GB) BLUE SURF:MOTOROLA:MOBILE"/>
    <n v="1"/>
    <n v="32999"/>
    <n v="0"/>
    <n v="0"/>
    <n v="31748"/>
    <s v="357279950985274"/>
    <n v="1251"/>
  </r>
  <r>
    <x v="4"/>
    <x v="1"/>
    <x v="3"/>
    <s v="MT/ACB/530"/>
    <s v="08/04/2026"/>
    <s v="MOTO EDGE 60 FUSION (8/128GB) AMAZONITE:MOTOROLA:MOBILE"/>
    <n v="1"/>
    <n v="22001"/>
    <n v="0"/>
    <n v="0"/>
    <n v="22127"/>
    <s v="351587387264394"/>
    <n v="-126"/>
  </r>
  <r>
    <x v="4"/>
    <x v="1"/>
    <x v="3"/>
    <s v="MT/ACB/540"/>
    <s v="08/04/2026"/>
    <s v="MOTO EDGE 70 FUSION (8/128GB) COUNTRY AIR:MOTOROLA:MOBILE"/>
    <n v="1"/>
    <n v="26000"/>
    <n v="0"/>
    <n v="0"/>
    <n v="25975"/>
    <s v="357279952983855"/>
    <n v="25"/>
  </r>
  <r>
    <x v="4"/>
    <x v="1"/>
    <x v="3"/>
    <s v="MT/ACB/573"/>
    <s v="09/04/2026"/>
    <s v="MOTO EDGE 70 FUSION (12/256GB) SILHOUTTE:MOTOROLA:MOBILE"/>
    <n v="1"/>
    <n v="32000"/>
    <n v="0"/>
    <n v="0"/>
    <n v="31748"/>
    <s v="353324452681718"/>
    <n v="252"/>
  </r>
  <r>
    <x v="4"/>
    <x v="1"/>
    <x v="3"/>
    <s v="MT/ACB/607"/>
    <s v="09/04/2026"/>
    <s v="MOTO EDGE 70 FUSION (8/128GB) COUNTRY AIR:MOTOROLA:MOBILE"/>
    <n v="1"/>
    <n v="26000"/>
    <n v="0"/>
    <n v="0"/>
    <n v="25975"/>
    <s v="357279952983756"/>
    <n v="25"/>
  </r>
  <r>
    <x v="4"/>
    <x v="1"/>
    <x v="3"/>
    <s v="MT/ACB/639"/>
    <s v="10/04/2026"/>
    <s v="MOTO G06 (4/64GB) PANTONE TAPESTRY:MOTOROLA:MOBILE"/>
    <n v="1"/>
    <n v="9700"/>
    <n v="0"/>
    <n v="0"/>
    <n v="9712"/>
    <s v="356849606386332"/>
    <n v="-12"/>
  </r>
  <r>
    <x v="4"/>
    <x v="1"/>
    <x v="3"/>
    <s v="MT/ACB/655"/>
    <s v="10/04/2026"/>
    <s v="MOTO EDGE 60 FUSION (12/256GB) SLIPSTREAM:MOTOROLA:MOBILE"/>
    <n v="1"/>
    <n v="26500"/>
    <n v="0"/>
    <n v="0"/>
    <n v="25975"/>
    <s v="351587387828339"/>
    <n v="525"/>
  </r>
  <r>
    <x v="4"/>
    <x v="1"/>
    <x v="3"/>
    <s v="MT/ACB/685"/>
    <s v="11/04/2026"/>
    <s v="MOTO G35 (4/128GB) MIDNIGHT BLACK:MOTOROLA:MOBILE"/>
    <n v="1"/>
    <n v="12500"/>
    <n v="0"/>
    <n v="0"/>
    <n v="12140"/>
    <s v="358557214238336"/>
    <n v="360"/>
  </r>
  <r>
    <x v="4"/>
    <x v="1"/>
    <x v="3"/>
    <s v="MT/ACB/706"/>
    <s v="11/04/2026"/>
    <s v="MOTO G35 (4/128GB) LEAF GREEN:MOTOROLA:MOBILE"/>
    <n v="1"/>
    <n v="12499"/>
    <n v="0"/>
    <n v="0"/>
    <n v="12140"/>
    <s v="358557216130994"/>
    <n v="359"/>
  </r>
  <r>
    <x v="4"/>
    <x v="1"/>
    <x v="2"/>
    <s v="MT/ACB/177"/>
    <s v="03/04/2026"/>
    <s v="NORD 5 (8/256GB) PHANTOM GREY:ONE PLUS:MOBILE"/>
    <n v="1"/>
    <n v="33999"/>
    <n v="0"/>
    <n v="0"/>
    <n v="33129"/>
    <s v="869066074572935"/>
    <n v="870"/>
  </r>
  <r>
    <x v="4"/>
    <x v="1"/>
    <x v="2"/>
    <s v="MT/ACB/217"/>
    <s v="04/04/2026"/>
    <s v="NORD 5 (8/256GB) PHANTOM GREY:ONE PLUS:MOBILE"/>
    <n v="1"/>
    <n v="33999"/>
    <n v="0"/>
    <n v="0"/>
    <n v="33129"/>
    <s v="869066074632598"/>
    <n v="870"/>
  </r>
  <r>
    <x v="4"/>
    <x v="1"/>
    <x v="11"/>
    <s v="MT/ACB/498"/>
    <s v="08/04/2026"/>
    <s v="F29 PRO 5G(8/128GB) MARBLE WHITE:OPPO:MOBILE"/>
    <n v="1"/>
    <n v="21500"/>
    <n v="0"/>
    <n v="0"/>
    <n v="21954"/>
    <s v="860860071447276"/>
    <n v="-454"/>
  </r>
  <r>
    <x v="4"/>
    <x v="1"/>
    <x v="9"/>
    <s v="MT/ACB/453"/>
    <s v="07/04/2026"/>
    <s v="E176BA(F17 5G-4/128GB) NEO BLACK:SAMSUNG:MOBILE(T.VALUE)"/>
    <n v="1"/>
    <n v="16700"/>
    <n v="0"/>
    <n v="0"/>
    <n v="15000"/>
    <s v="350133667034479"/>
    <n v="1700"/>
  </r>
  <r>
    <x v="4"/>
    <x v="1"/>
    <x v="9"/>
    <s v="MT/ACB/562"/>
    <s v="09/04/2026"/>
    <s v="A075FD(A07 4G-4/64GB) LIGHT VIOLET:SAMSUNG:MOBILE"/>
    <n v="1"/>
    <n v="9000"/>
    <n v="0"/>
    <n v="0"/>
    <n v="8916"/>
    <s v="354372910503684"/>
    <n v="84"/>
  </r>
  <r>
    <x v="4"/>
    <x v="1"/>
    <x v="5"/>
    <s v="SRN/ACB/3"/>
    <s v="02/04/2026"/>
    <s v="SPARK-10 (KI5Q-8/128GB) MAGSKIN ORANGE:TECNO:MOBILE"/>
    <n v="0"/>
    <n v="0"/>
    <n v="1"/>
    <n v="8500"/>
    <n v="8570"/>
    <s v="359749531611324"/>
    <n v="70"/>
  </r>
  <r>
    <x v="4"/>
    <x v="1"/>
    <x v="5"/>
    <s v="MT/ACB/314"/>
    <s v="05/04/2026"/>
    <s v="SPARK 30C 5G (KL8H-8/128GB) ARORA CLOUD:TECNO:MOBILE"/>
    <n v="1"/>
    <n v="11900"/>
    <n v="0"/>
    <n v="0"/>
    <n v="11418"/>
    <s v="355257454424935"/>
    <n v="482"/>
  </r>
  <r>
    <x v="4"/>
    <x v="1"/>
    <x v="6"/>
    <s v="MT/ACB/633"/>
    <s v="10/04/2026"/>
    <s v="Y11 5G (4/64GB) MIDNIGHT BLUE:VIVO:MOBILE"/>
    <n v="1"/>
    <n v="14000"/>
    <n v="0"/>
    <n v="0"/>
    <n v="14010"/>
    <s v="864001082807895"/>
    <n v="-10"/>
  </r>
  <r>
    <x v="4"/>
    <x v="1"/>
    <x v="7"/>
    <s v="MT/ACB/730"/>
    <s v="11/04/2026"/>
    <s v="REDMI NOTE 14 PRO+ 5G (8/128GB) SPECTER BLUE:XIAOMI:MOBILE"/>
    <n v="1"/>
    <n v="26250"/>
    <n v="0"/>
    <n v="0"/>
    <n v="26049"/>
    <s v="868358070737187"/>
    <n v="201"/>
  </r>
  <r>
    <x v="5"/>
    <x v="1"/>
    <x v="8"/>
    <s v="MT/ACB/53"/>
    <s v="01/04/2026"/>
    <s v="IPHONE 17(256GB) LAVENDER:APPLE:MOBILE"/>
    <n v="1"/>
    <n v="82900"/>
    <n v="0"/>
    <n v="0"/>
    <n v="80397"/>
    <s v="352626666097312"/>
    <n v="2503"/>
  </r>
  <r>
    <x v="5"/>
    <x v="1"/>
    <x v="8"/>
    <s v="MT/ACB/591"/>
    <s v="09/04/2026"/>
    <s v="IPHONE 17(256GB) WHITE:APPLE:MOBILE"/>
    <n v="1"/>
    <n v="82900"/>
    <n v="0"/>
    <n v="0"/>
    <n v="80397"/>
    <s v="354774863138295"/>
    <n v="2503"/>
  </r>
  <r>
    <x v="5"/>
    <x v="1"/>
    <x v="3"/>
    <s v="MT/ACB/12"/>
    <s v="01/04/2026"/>
    <s v="MOTO G57 (8/128GB) PANTONE REGATTA:MOTOROLA:MOBILE"/>
    <n v="1"/>
    <n v="14300"/>
    <n v="0"/>
    <n v="0"/>
    <n v="14568"/>
    <s v="359006539721195"/>
    <n v="-268"/>
  </r>
  <r>
    <x v="5"/>
    <x v="1"/>
    <x v="3"/>
    <s v="MT/ACB/6"/>
    <s v="01/04/2026"/>
    <s v="MOTO G57 (8/128GB) PANTONE REGATTA:MOTOROLA:MOBILE"/>
    <n v="1"/>
    <n v="14300"/>
    <n v="0"/>
    <n v="0"/>
    <n v="14568"/>
    <s v="359006539717375"/>
    <n v="-268"/>
  </r>
  <r>
    <x v="5"/>
    <x v="1"/>
    <x v="3"/>
    <s v="MT/ACB/107"/>
    <s v="02/04/2026"/>
    <s v="MOTO EDGE 60 FUSION (8/128GB) ZEPHYR:MOTOROLA:MOBILE"/>
    <n v="1"/>
    <n v="20999"/>
    <n v="0"/>
    <n v="0"/>
    <n v="20203"/>
    <s v="351587386726831"/>
    <n v="796"/>
  </r>
  <r>
    <x v="5"/>
    <x v="1"/>
    <x v="3"/>
    <s v="MT/ACB/116"/>
    <s v="02/04/2026"/>
    <s v="MOTO EDGE 70 FUSION (12/256GB) BLUE SURF:MOTOROLA:MOBILE"/>
    <n v="1"/>
    <n v="32200"/>
    <n v="0"/>
    <n v="0"/>
    <n v="31748"/>
    <s v="353324455605755"/>
    <n v="452"/>
  </r>
  <r>
    <x v="5"/>
    <x v="1"/>
    <x v="3"/>
    <s v="MT/ACB/117"/>
    <s v="02/04/2026"/>
    <s v="MOTO G57 (8/128GB) PANTONE REGATTA:MOTOROLA:MOBILE"/>
    <n v="1"/>
    <n v="14999"/>
    <n v="0"/>
    <n v="0"/>
    <n v="14568"/>
    <s v="359006539721419"/>
    <n v="431"/>
  </r>
  <r>
    <x v="5"/>
    <x v="1"/>
    <x v="3"/>
    <s v="MT/ACB/82"/>
    <s v="02/04/2026"/>
    <s v="MOTO EDGE 70 FUSION (8/128GB) BLUE SURF:MOTOROLA:MOBILE"/>
    <n v="1"/>
    <n v="26999"/>
    <n v="0"/>
    <n v="0"/>
    <n v="25975"/>
    <s v="353324456624896"/>
    <n v="1024"/>
  </r>
  <r>
    <x v="5"/>
    <x v="1"/>
    <x v="3"/>
    <s v="MT/ACB/148"/>
    <s v="03/04/2026"/>
    <s v="MOTO EDGE 70 FUSION (8/256GB) COUNTRY AIR:MOTOROLA:MOBILE"/>
    <n v="1"/>
    <n v="29500"/>
    <n v="0"/>
    <n v="0"/>
    <n v="28862"/>
    <s v="357279952196573"/>
    <n v="638"/>
  </r>
  <r>
    <x v="5"/>
    <x v="1"/>
    <x v="3"/>
    <s v="MT/ACB/196"/>
    <s v="03/04/2026"/>
    <s v="MOTO G57 (8/128GB) PANTONE REGATTA:MOTOROLA:MOBILE"/>
    <n v="1"/>
    <n v="15000"/>
    <n v="0"/>
    <n v="0"/>
    <n v="14568"/>
    <s v="359006539713614"/>
    <n v="432"/>
  </r>
  <r>
    <x v="5"/>
    <x v="1"/>
    <x v="3"/>
    <s v="MT/ACB/204"/>
    <s v="03/04/2026"/>
    <s v="MOTO G57 (8/128GB) PANTONE FLUIDITY:MOTOROLA:MOBILE"/>
    <n v="1"/>
    <n v="15000"/>
    <n v="0"/>
    <n v="0"/>
    <n v="14568"/>
    <s v="357355572918776"/>
    <n v="432"/>
  </r>
  <r>
    <x v="5"/>
    <x v="1"/>
    <x v="3"/>
    <s v="MT/ACB/211"/>
    <s v="04/04/2026"/>
    <s v="MOTO EDGE 70 (8/256GB) LILY PAD:MOTOROLA:MOBILE"/>
    <n v="1"/>
    <n v="29999"/>
    <n v="0"/>
    <n v="0"/>
    <n v="28862"/>
    <s v="355062882682272"/>
    <n v="1137"/>
  </r>
  <r>
    <x v="5"/>
    <x v="1"/>
    <x v="3"/>
    <s v="MT/ACB/223"/>
    <s v="04/04/2026"/>
    <s v="MOTO G57 (8/128GB) PANTONE FLUIDITY:MOTOROLA:MOBILE"/>
    <n v="1"/>
    <n v="14600"/>
    <n v="0"/>
    <n v="0"/>
    <n v="14568"/>
    <s v="357355572909718"/>
    <n v="32"/>
  </r>
  <r>
    <x v="5"/>
    <x v="1"/>
    <x v="3"/>
    <s v="MT/ACB/315"/>
    <s v="05/04/2026"/>
    <s v="MOTO EDGE 60 FUSION (8/128GB) AMAZONITE:MOTOROLA:MOBILE"/>
    <n v="1"/>
    <n v="20000"/>
    <n v="0"/>
    <n v="0"/>
    <n v="20203"/>
    <s v="351587387265698"/>
    <n v="-203"/>
  </r>
  <r>
    <x v="5"/>
    <x v="1"/>
    <x v="3"/>
    <s v="MT/ACB/499"/>
    <s v="08/04/2026"/>
    <s v="MOTO G35 (4/128GB) MIDNIGHT BLACK:MOTOROLA:MOBILE"/>
    <n v="1"/>
    <n v="12500"/>
    <n v="0"/>
    <n v="0"/>
    <n v="12140"/>
    <s v="358557214340496"/>
    <n v="360"/>
  </r>
  <r>
    <x v="5"/>
    <x v="1"/>
    <x v="3"/>
    <s v="MT/ACB/556"/>
    <s v="09/04/2026"/>
    <s v="MOTO G67 POWER (8/128GB) BLUE:MOTOROLA:MOBILE"/>
    <n v="1"/>
    <n v="16966"/>
    <n v="0"/>
    <n v="0"/>
    <n v="16511"/>
    <s v="356944975515999"/>
    <n v="455"/>
  </r>
  <r>
    <x v="5"/>
    <x v="1"/>
    <x v="3"/>
    <s v="MT/ACB/604"/>
    <s v="09/04/2026"/>
    <s v="MOTO G67 POWER (8/128GB) CILANTRO:MOTOROLA:MOBILE"/>
    <n v="1"/>
    <n v="16999"/>
    <n v="0"/>
    <n v="0"/>
    <n v="16511"/>
    <s v="356231213510713"/>
    <n v="488"/>
  </r>
  <r>
    <x v="5"/>
    <x v="1"/>
    <x v="3"/>
    <s v="MT/ACB/617"/>
    <s v="10/04/2026"/>
    <s v="MOTO G67 POWER (8/128GB) BLUE:MOTOROLA:MOBILE"/>
    <n v="1"/>
    <n v="16999"/>
    <n v="0"/>
    <n v="0"/>
    <n v="16511"/>
    <s v="356944975516492"/>
    <n v="488"/>
  </r>
  <r>
    <x v="5"/>
    <x v="1"/>
    <x v="1"/>
    <s v="MT/ACB/209"/>
    <s v="04/04/2026"/>
    <s v="HMD-100(SINGLESIM-TA-1761) GREY:NOKIA:MOBILE"/>
    <n v="1"/>
    <n v="1100"/>
    <n v="0"/>
    <n v="0"/>
    <n v="815"/>
    <s v="351813215456261"/>
    <n v="285"/>
  </r>
  <r>
    <x v="5"/>
    <x v="1"/>
    <x v="12"/>
    <s v="MT/ACB/403"/>
    <s v="07/04/2026"/>
    <s v="PHONE 4A PRO (12/256GB) BLACK:NOTHING:MOBILE"/>
    <n v="1"/>
    <n v="45000"/>
    <n v="0"/>
    <n v="0"/>
    <n v="43790"/>
    <s v="357998630160897"/>
    <n v="1210"/>
  </r>
  <r>
    <x v="5"/>
    <x v="1"/>
    <x v="2"/>
    <s v="MT/ACB/318"/>
    <s v="05/04/2026"/>
    <s v="NORD 5 (12/256GB) DRY ICE:ONE PLUS:MOBILE"/>
    <n v="1"/>
    <n v="36500"/>
    <n v="0"/>
    <n v="0"/>
    <n v="36052"/>
    <s v="863995074510097"/>
    <n v="448"/>
  </r>
  <r>
    <x v="5"/>
    <x v="1"/>
    <x v="2"/>
    <s v="MT/ACB/538"/>
    <s v="08/04/2026"/>
    <s v="NORD 5 (8/256GB) PHANTOM GREY:ONE PLUS:MOBILE"/>
    <n v="1"/>
    <n v="33999"/>
    <n v="0"/>
    <n v="0"/>
    <n v="33129"/>
    <s v="869066074631996"/>
    <n v="870"/>
  </r>
  <r>
    <x v="5"/>
    <x v="1"/>
    <x v="2"/>
    <s v="MT/ACB/578"/>
    <s v="09/04/2026"/>
    <s v="NORD 5 (8/256GB) DRY ICE:ONE PLUS:MOBILE"/>
    <n v="1"/>
    <n v="33999"/>
    <n v="0"/>
    <n v="0"/>
    <n v="33129"/>
    <s v="869066074548778"/>
    <n v="870"/>
  </r>
  <r>
    <x v="5"/>
    <x v="1"/>
    <x v="2"/>
    <s v="MT/ACB/681"/>
    <s v="11/04/2026"/>
    <s v="NORD 5 (12/256GB) DRY ICE:ONE PLUS:MOBILE"/>
    <n v="1"/>
    <n v="36999"/>
    <n v="0"/>
    <n v="0"/>
    <n v="36052"/>
    <s v="863995074523090"/>
    <n v="947"/>
  </r>
  <r>
    <x v="5"/>
    <x v="1"/>
    <x v="2"/>
    <s v="MT/ACB/718"/>
    <s v="11/04/2026"/>
    <s v="NORD 4 (8/256GB) OBSIDIAN MIDNIGHT:ONE PLUS:MOBILE"/>
    <n v="1"/>
    <n v="29000"/>
    <n v="0"/>
    <n v="0"/>
    <n v="29278"/>
    <s v="863307072616035"/>
    <n v="-278"/>
  </r>
  <r>
    <x v="5"/>
    <x v="1"/>
    <x v="11"/>
    <s v="SRN/ACB/4"/>
    <s v="02/04/2026"/>
    <s v="A6 5G (6/128GB) ICE WHITE:OPPO:MOBILE"/>
    <n v="0"/>
    <n v="0"/>
    <n v="1"/>
    <n v="20699"/>
    <n v="20580"/>
    <s v="869672081524270"/>
    <n v="-119"/>
  </r>
  <r>
    <x v="5"/>
    <x v="1"/>
    <x v="11"/>
    <s v="MT/ACB/303"/>
    <s v="05/04/2026"/>
    <s v="A6 5G (6/256GB) ICE WHITE:OPPO:MOBILE"/>
    <n v="1"/>
    <n v="24500"/>
    <n v="0"/>
    <n v="0"/>
    <n v="24107"/>
    <s v="869672083962171"/>
    <n v="393"/>
  </r>
  <r>
    <x v="5"/>
    <x v="1"/>
    <x v="11"/>
    <s v="MT/ACB/423"/>
    <s v="07/04/2026"/>
    <s v="F31 PRO 5G (8/128GB) DESERT GOLD:OPPO:MOBILE"/>
    <n v="1"/>
    <n v="26800"/>
    <n v="0"/>
    <n v="0"/>
    <n v="25729"/>
    <s v="865761076427393"/>
    <n v="1071"/>
  </r>
  <r>
    <x v="5"/>
    <x v="1"/>
    <x v="11"/>
    <s v="MT/ACB/462"/>
    <s v="08/04/2026"/>
    <s v="RENO 15 PRO MINI 5G (12/256GB) COCOA BROWN:OPPO:MOBILE"/>
    <n v="1"/>
    <n v="55999"/>
    <n v="0"/>
    <n v="0"/>
    <n v="54764"/>
    <s v="861143085103154"/>
    <n v="1235"/>
  </r>
  <r>
    <x v="5"/>
    <x v="1"/>
    <x v="4"/>
    <s v="MT/ACB/151"/>
    <s v="03/04/2026"/>
    <s v="15T 5G (8/128GB) FLOWING SILVER:REALME:MOBILE"/>
    <n v="1"/>
    <n v="25500"/>
    <n v="0"/>
    <n v="0"/>
    <n v="24625"/>
    <s v="868088085425672"/>
    <n v="875"/>
  </r>
  <r>
    <x v="5"/>
    <x v="1"/>
    <x v="4"/>
    <s v="MT/ACB/215"/>
    <s v="04/04/2026"/>
    <s v="C83 5G (4/128GB) SPROUTING GREEN:REALME:MOBILE"/>
    <n v="1"/>
    <n v="16000"/>
    <n v="0"/>
    <n v="0"/>
    <n v="15455"/>
    <s v="860543080403833"/>
    <n v="545"/>
  </r>
  <r>
    <x v="5"/>
    <x v="1"/>
    <x v="4"/>
    <s v="MT/ACB/431"/>
    <s v="07/04/2026"/>
    <s v="15 PRO 5G (8/256GB) FLOWING SILVER:REALME:MOBILE"/>
    <n v="1"/>
    <n v="33000"/>
    <n v="0"/>
    <n v="0"/>
    <n v="31010"/>
    <s v="860223074624138"/>
    <n v="1990"/>
  </r>
  <r>
    <x v="5"/>
    <x v="1"/>
    <x v="4"/>
    <s v="MT/ACB/471"/>
    <s v="08/04/2026"/>
    <s v="P4X 5G (8/128GB) SILVER:REALME:MOBILE"/>
    <n v="1"/>
    <n v="18999"/>
    <n v="0"/>
    <n v="0"/>
    <n v="18421"/>
    <s v="861595086831879"/>
    <n v="578"/>
  </r>
  <r>
    <x v="5"/>
    <x v="1"/>
    <x v="4"/>
    <s v="MT/ACB/622"/>
    <s v="10/04/2026"/>
    <s v="C83 5G (4/128GB) BLOOMING PURPLE:REALME:MOBILE(T.VALUE)"/>
    <n v="1"/>
    <n v="14000"/>
    <n v="0"/>
    <n v="0"/>
    <n v="14175"/>
    <s v="863074083665639"/>
    <n v="-175"/>
  </r>
  <r>
    <x v="5"/>
    <x v="1"/>
    <x v="9"/>
    <s v="MT/ACB/22"/>
    <s v="01/04/2026"/>
    <s v="A176BN(A17 5G-8/256GB) BLACK:SAMSUNG:MOBILE"/>
    <n v="1"/>
    <n v="22500"/>
    <n v="0"/>
    <n v="0"/>
    <n v="21968"/>
    <s v="350037990364984"/>
    <n v="532"/>
  </r>
  <r>
    <x v="5"/>
    <x v="1"/>
    <x v="9"/>
    <s v="MT/ACB/55"/>
    <s v="01/04/2026"/>
    <s v="A176BN(A17 5G-8/256GB) BLACK:SAMSUNG:MOBILE"/>
    <n v="1"/>
    <n v="22500"/>
    <n v="0"/>
    <n v="0"/>
    <n v="21968"/>
    <s v="350037990367334"/>
    <n v="532"/>
  </r>
  <r>
    <x v="5"/>
    <x v="1"/>
    <x v="9"/>
    <s v="MT/ACB/139"/>
    <s v="03/04/2026"/>
    <s v="A176NM(A17 5G-8/128GB) W/O TA GRAY:SAMSUNG:MOBILE"/>
    <n v="1"/>
    <n v="21000"/>
    <n v="0"/>
    <n v="0"/>
    <n v="20307"/>
    <s v="356137746819200"/>
    <n v="693"/>
  </r>
  <r>
    <x v="5"/>
    <x v="1"/>
    <x v="9"/>
    <s v="MT/ACB/371"/>
    <s v="06/04/2026"/>
    <s v="A176BN(A17 5G-8/256GB) BLACK:SAMSUNG:MOBILE"/>
    <n v="1"/>
    <n v="22269"/>
    <n v="0"/>
    <n v="0"/>
    <n v="21968"/>
    <s v="350037990367755"/>
    <n v="301"/>
  </r>
  <r>
    <x v="5"/>
    <x v="1"/>
    <x v="9"/>
    <s v="MT/ACB/448"/>
    <s v="07/04/2026"/>
    <s v="A176NL(A17 5G-6/128GB) W/O TA BLUE:SAMSUNG:MOBILE(T.VALUE)"/>
    <n v="1"/>
    <n v="18500"/>
    <n v="0"/>
    <n v="0"/>
    <n v="17528"/>
    <s v="355299981541997"/>
    <n v="972"/>
  </r>
  <r>
    <x v="5"/>
    <x v="1"/>
    <x v="9"/>
    <s v="MT/ACB/477"/>
    <s v="08/04/2026"/>
    <s v="E176BA(F17 5G-4/128GB) NEO BLACK:SAMSUNG:MOBILE"/>
    <n v="1"/>
    <n v="16000"/>
    <n v="0"/>
    <n v="0"/>
    <n v="15956"/>
    <s v="350133667035039"/>
    <n v="44"/>
  </r>
  <r>
    <x v="5"/>
    <x v="1"/>
    <x v="9"/>
    <s v="MT/ACB/520"/>
    <s v="08/04/2026"/>
    <s v="A176BN(A17 5G-8/256GB) BLACK:SAMSUNG:MOBILE"/>
    <n v="1"/>
    <n v="22000"/>
    <n v="0"/>
    <n v="0"/>
    <n v="21968"/>
    <s v="356276611982931"/>
    <n v="32"/>
  </r>
  <r>
    <x v="5"/>
    <x v="1"/>
    <x v="9"/>
    <s v="MT/ACB/558"/>
    <s v="09/04/2026"/>
    <s v="A176BN(A17 5G-8/256GB) BLUE:SAMSUNG:MOBILE"/>
    <n v="1"/>
    <n v="22200"/>
    <n v="0"/>
    <n v="0"/>
    <n v="21968"/>
    <s v="356276611210457"/>
    <n v="232"/>
  </r>
  <r>
    <x v="5"/>
    <x v="1"/>
    <x v="9"/>
    <s v="MT/ACB/629"/>
    <s v="10/04/2026"/>
    <s v="E176BA(F17 5G-4/128GB) VIOLET POP:SAMSUNG:MOBILE(T.VALUE)"/>
    <n v="1"/>
    <n v="15500"/>
    <n v="0"/>
    <n v="0"/>
    <n v="15000"/>
    <s v="350133665794868"/>
    <n v="500"/>
  </r>
  <r>
    <x v="5"/>
    <x v="1"/>
    <x v="5"/>
    <s v="MT/ACB/313"/>
    <s v="05/04/2026"/>
    <s v="SPARK GO 5G (KM8-4/128GB) SKY BLUE:TECNO:MOBILE"/>
    <n v="1"/>
    <n v="9900"/>
    <n v="0"/>
    <n v="0"/>
    <n v="9622"/>
    <s v="357683480749995"/>
    <n v="278"/>
  </r>
  <r>
    <x v="5"/>
    <x v="1"/>
    <x v="5"/>
    <s v="MT/ACB/313"/>
    <s v="05/04/2026"/>
    <s v="SPARK GO 5G (KM8-4/128GB) TURQUOISE GREEN:TECNO:MOBILE"/>
    <n v="1"/>
    <n v="9900"/>
    <n v="0"/>
    <n v="0"/>
    <n v="9622"/>
    <s v="357683480843954"/>
    <n v="278"/>
  </r>
  <r>
    <x v="5"/>
    <x v="1"/>
    <x v="6"/>
    <s v="MT/ACB/392"/>
    <s v="06/04/2026"/>
    <s v="Y11 5G (4/128GB) SUNRISE GOLD:VIVO:MOBILE"/>
    <n v="1"/>
    <n v="16200"/>
    <n v="0"/>
    <n v="0"/>
    <n v="15847"/>
    <s v="864001083956253"/>
    <n v="353"/>
  </r>
  <r>
    <x v="5"/>
    <x v="1"/>
    <x v="6"/>
    <s v="MT/ACB/659"/>
    <s v="10/04/2026"/>
    <s v="Y11 5G (4/64GB) MIDNIGHT BLUE:VIVO:MOBILE"/>
    <n v="1"/>
    <n v="13900"/>
    <n v="0"/>
    <n v="0"/>
    <n v="14010"/>
    <s v="864001082336077"/>
    <n v="-110"/>
  </r>
  <r>
    <x v="5"/>
    <x v="1"/>
    <x v="6"/>
    <s v="MT/ACB/678"/>
    <s v="11/04/2026"/>
    <s v="T4 ULTRA (12/512GB) PHOENIX GOLD:VIVO:MOBILE"/>
    <n v="1"/>
    <n v="39999"/>
    <n v="0"/>
    <n v="0"/>
    <n v="38569"/>
    <s v="869549078495294"/>
    <n v="1430"/>
  </r>
  <r>
    <x v="5"/>
    <x v="1"/>
    <x v="6"/>
    <s v="MT/ACB/700"/>
    <s v="11/04/2026"/>
    <s v="V70 ELITE 5G (8/256GB) SAND BEIGE:VIVO:MOBILE"/>
    <n v="1"/>
    <n v="49000"/>
    <n v="0"/>
    <n v="0"/>
    <n v="47689"/>
    <s v="864253084698737"/>
    <n v="1311"/>
  </r>
  <r>
    <x v="5"/>
    <x v="1"/>
    <x v="7"/>
    <s v="MT/ACB/517"/>
    <s v="08/04/2026"/>
    <s v="REDMI A5 (4/128GB) JAISALMER GOLD:XIAOMI:MOBILE"/>
    <n v="1"/>
    <n v="8800"/>
    <n v="0"/>
    <n v="0"/>
    <n v="8449"/>
    <s v="861307078830004"/>
    <n v="351"/>
  </r>
  <r>
    <x v="6"/>
    <x v="0"/>
    <x v="13"/>
    <s v="MT/GDRB/259"/>
    <s v="09/04/2026"/>
    <s v="A100 (A6611L-3/64GB) TITANIUM GOLD:ITEL:MOBILE"/>
    <n v="1"/>
    <n v="7500"/>
    <n v="0"/>
    <n v="0"/>
    <n v="7216"/>
    <s v="357512820625336"/>
    <n v="284"/>
  </r>
  <r>
    <x v="6"/>
    <x v="0"/>
    <x v="3"/>
    <s v="MT/GDRB/13"/>
    <s v="01/04/2026"/>
    <s v="MOTO G35 (4/128GB) LEAF GREEN:MOTOROLA:MOBILE"/>
    <n v="1"/>
    <n v="12000"/>
    <n v="0"/>
    <n v="0"/>
    <n v="11654"/>
    <s v="358557215884690"/>
    <n v="346"/>
  </r>
  <r>
    <x v="6"/>
    <x v="0"/>
    <x v="3"/>
    <s v="MT/GDRB/63"/>
    <s v="03/04/2026"/>
    <s v="MOTO EDGE 60 FUSION (8/128GB) SLIPSTREAM:MOTOROLA:MOBILE"/>
    <n v="1"/>
    <n v="20300"/>
    <n v="0"/>
    <n v="0"/>
    <n v="20203"/>
    <s v="354845692359235"/>
    <n v="97"/>
  </r>
  <r>
    <x v="6"/>
    <x v="0"/>
    <x v="3"/>
    <s v="MT/GDRB/70"/>
    <s v="03/04/2026"/>
    <s v="MOTO G57 (8/128GB) PANTONE FLUIDITY:MOTOROLA:MOBILE"/>
    <n v="1"/>
    <n v="14500"/>
    <n v="0"/>
    <n v="0"/>
    <n v="14568"/>
    <s v="357355572918313"/>
    <n v="-68"/>
  </r>
  <r>
    <x v="6"/>
    <x v="0"/>
    <x v="3"/>
    <s v="MT/GDRB/78"/>
    <s v="03/04/2026"/>
    <s v="MOTO G57 (8/128GB) PANTONE FLUIDITY:MOTOROLA:MOBILE"/>
    <n v="1"/>
    <n v="14500"/>
    <n v="0"/>
    <n v="0"/>
    <n v="14568"/>
    <s v="357355572917877"/>
    <n v="-68"/>
  </r>
  <r>
    <x v="6"/>
    <x v="0"/>
    <x v="3"/>
    <s v="MT/GDRB/120"/>
    <s v="05/04/2026"/>
    <s v="MOTO G45 (8/128GB) DAHILA PURPPLE:MOTOROLA:MOBILE"/>
    <n v="1"/>
    <n v="12700"/>
    <n v="0"/>
    <n v="0"/>
    <n v="12626"/>
    <s v="353545922622219"/>
    <n v="74"/>
  </r>
  <r>
    <x v="6"/>
    <x v="0"/>
    <x v="3"/>
    <s v="MT/GDRB/127"/>
    <s v="05/04/2026"/>
    <s v="MOTO EDGE 70 FUSION (8/128GB) BLUE SURF:MOTOROLA:MOBILE"/>
    <n v="1"/>
    <n v="26500"/>
    <n v="0"/>
    <n v="0"/>
    <n v="25975"/>
    <s v="353324456120457"/>
    <n v="525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153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211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252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278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450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8559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69151"/>
    <n v="-1040"/>
  </r>
  <r>
    <x v="6"/>
    <x v="0"/>
    <x v="3"/>
    <s v="MT/GDRB/161"/>
    <s v="07/04/2026"/>
    <s v="MOTO G57 (8/128GB) PANTONE CORSAIR:MOTOROLA:MOBILE"/>
    <n v="1"/>
    <n v="14500"/>
    <n v="0"/>
    <n v="0"/>
    <n v="15540"/>
    <s v="357355576674292"/>
    <n v="-1040"/>
  </r>
  <r>
    <x v="6"/>
    <x v="0"/>
    <x v="3"/>
    <s v="MT/GDRB/189"/>
    <s v="08/04/2026"/>
    <s v="MOTO G57 (8/128GB) PANTONE FLUIDITY:MOTOROLA:MOBILE"/>
    <n v="1"/>
    <n v="15400"/>
    <n v="0"/>
    <n v="0"/>
    <n v="15540"/>
    <s v="357355572909056"/>
    <n v="-140"/>
  </r>
  <r>
    <x v="6"/>
    <x v="0"/>
    <x v="3"/>
    <s v="MT/GDRB/205"/>
    <s v="08/04/2026"/>
    <s v="MOTO G96 (8/128GB) CATTLEYA ORCHID:MOTOROLA:MOBILE"/>
    <n v="1"/>
    <n v="18200"/>
    <n v="0"/>
    <n v="0"/>
    <n v="18454"/>
    <s v="354080686400999"/>
    <n v="-254"/>
  </r>
  <r>
    <x v="6"/>
    <x v="0"/>
    <x v="3"/>
    <s v="MT/GDRB/223"/>
    <s v="08/04/2026"/>
    <s v="MOTO G57 (8/128GB) PANTONE CORSAIR:MOTOROLA:MOBILE"/>
    <n v="1"/>
    <n v="15300"/>
    <n v="0"/>
    <n v="0"/>
    <n v="15540"/>
    <s v="357355576672916"/>
    <n v="-240"/>
  </r>
  <r>
    <x v="6"/>
    <x v="0"/>
    <x v="3"/>
    <s v="MT/GDRB/341"/>
    <s v="11/04/2026"/>
    <s v="MOTO G96 (8/128GB) GREENER PASTURES:MOTOROLA:MOBILE"/>
    <n v="1"/>
    <n v="18500"/>
    <n v="0"/>
    <n v="0"/>
    <n v="18454"/>
    <s v="355024343668738"/>
    <n v="46"/>
  </r>
  <r>
    <x v="6"/>
    <x v="0"/>
    <x v="1"/>
    <s v="MT/GDRB/338"/>
    <s v="11/04/2026"/>
    <s v="HMD-130(MUSIC-DUALSIM-TA-1714) GREY:NOKIA:MOBILE"/>
    <n v="1"/>
    <n v="2200"/>
    <n v="0"/>
    <n v="0"/>
    <n v="1733"/>
    <s v="350080067278547"/>
    <n v="467"/>
  </r>
  <r>
    <x v="6"/>
    <x v="0"/>
    <x v="12"/>
    <s v="MT/GDRB/279"/>
    <s v="09/04/2026"/>
    <s v="PHONE 4A PRO (8/128GB) BLACK:NOTHING:MOBILE"/>
    <n v="1"/>
    <n v="39999"/>
    <n v="0"/>
    <n v="0"/>
    <n v="37944"/>
    <s v="357998630459075"/>
    <n v="2055"/>
  </r>
  <r>
    <x v="6"/>
    <x v="0"/>
    <x v="11"/>
    <s v="MT/GDRB/265"/>
    <s v="09/04/2026"/>
    <s v="A6X 5G (4/64GB) ICE BLUE:OPPO:MOBILE"/>
    <n v="1"/>
    <n v="16700"/>
    <n v="0"/>
    <n v="0"/>
    <n v="16130"/>
    <s v="869556083441536"/>
    <n v="570"/>
  </r>
  <r>
    <x v="6"/>
    <x v="0"/>
    <x v="10"/>
    <s v="MT/GDRB/162"/>
    <s v="07/04/2026"/>
    <s v="C85X (4/64GB) EMERALD GREEN:POCO:MOBILE"/>
    <n v="1"/>
    <n v="11000"/>
    <n v="0"/>
    <n v="0"/>
    <n v="10807"/>
    <s v="864960082588682"/>
    <n v="193"/>
  </r>
  <r>
    <x v="6"/>
    <x v="0"/>
    <x v="4"/>
    <s v="MT/GDRB/126"/>
    <s v="05/04/2026"/>
    <s v="16 5G (12/256GB) AIR WHITE:REALME:MOBILE"/>
    <n v="1"/>
    <n v="36500"/>
    <n v="0"/>
    <n v="0"/>
    <n v="33746"/>
    <s v="866389083177477"/>
    <n v="2754"/>
  </r>
  <r>
    <x v="6"/>
    <x v="0"/>
    <x v="4"/>
    <s v="MT/GDRB/202"/>
    <s v="08/04/2026"/>
    <s v="P4 5G (6/128GB) STEEL GREY:REALME:MOBILE"/>
    <n v="1"/>
    <n v="20999"/>
    <n v="0"/>
    <n v="0"/>
    <n v="20361"/>
    <s v="866799085895274"/>
    <n v="638"/>
  </r>
  <r>
    <x v="6"/>
    <x v="0"/>
    <x v="9"/>
    <s v="MT/GDRB/42"/>
    <s v="02/04/2026"/>
    <s v="A176BN(A17 5G-8/256GB) BLACK:SAMSUNG:MOBILE"/>
    <n v="1"/>
    <n v="22500"/>
    <n v="0"/>
    <n v="0"/>
    <n v="21968"/>
    <s v="350037990384537"/>
    <n v="532"/>
  </r>
  <r>
    <x v="6"/>
    <x v="0"/>
    <x v="9"/>
    <s v="MT/GDRB/56"/>
    <s v="02/04/2026"/>
    <s v="A566EG(A56 5G-8/256GB) AWESOME OLIVE:SAMSUNG:MOBILE"/>
    <n v="1"/>
    <n v="41275"/>
    <n v="0"/>
    <n v="0"/>
    <n v="40614"/>
    <s v="351300533232251"/>
    <n v="661"/>
  </r>
  <r>
    <x v="6"/>
    <x v="0"/>
    <x v="9"/>
    <s v="MT/GDRB/72"/>
    <s v="03/04/2026"/>
    <s v="A176BN(A17 5G-8/256GB) BLACK:SAMSUNG:MOBILE"/>
    <n v="1"/>
    <n v="23000"/>
    <n v="0"/>
    <n v="0"/>
    <n v="21968"/>
    <s v="350037990384594"/>
    <n v="1032"/>
  </r>
  <r>
    <x v="6"/>
    <x v="0"/>
    <x v="9"/>
    <s v="MT/GDRB/135"/>
    <s v="06/04/2026"/>
    <s v="A176NL(A17 5G-6/128GB) W/O TA BLUE:SAMSUNG:MOBILE"/>
    <n v="1"/>
    <n v="18500"/>
    <n v="0"/>
    <n v="0"/>
    <n v="18502"/>
    <s v="355299982854258"/>
    <n v="-2"/>
  </r>
  <r>
    <x v="6"/>
    <x v="0"/>
    <x v="9"/>
    <s v="MT/GDRB/140"/>
    <s v="06/04/2026"/>
    <s v="A076BB(A07 5G-4/128GB) LIGHT GREEN:SAMSUNG:MOBILE"/>
    <n v="1"/>
    <n v="14500"/>
    <n v="0"/>
    <n v="0"/>
    <n v="14440"/>
    <s v="359695532607797"/>
    <n v="60"/>
  </r>
  <r>
    <x v="6"/>
    <x v="0"/>
    <x v="9"/>
    <s v="MT/GDRB/144"/>
    <s v="06/04/2026"/>
    <s v="E176BB(F17 5G-6/128GB) NEO BLACK:SAMSUNG:MOBILE"/>
    <n v="1"/>
    <n v="17500"/>
    <n v="0"/>
    <n v="0"/>
    <n v="17834"/>
    <s v="352822575174066"/>
    <n v="-334"/>
  </r>
  <r>
    <x v="6"/>
    <x v="0"/>
    <x v="9"/>
    <s v="MT/GDRB/148"/>
    <s v="06/04/2026"/>
    <s v="A176NM(A17 5G-8/128GB) W/O TA GRAY:SAMSUNG:MOBILE"/>
    <n v="1"/>
    <n v="21799"/>
    <n v="0"/>
    <n v="0"/>
    <n v="20307"/>
    <s v="356137747659498"/>
    <n v="1492"/>
  </r>
  <r>
    <x v="6"/>
    <x v="0"/>
    <x v="9"/>
    <s v="MT/GDRB/166"/>
    <s v="07/04/2026"/>
    <s v="E176BA(F17 5G-4/128GB) NEO BLACK:SAMSUNG:MOBILE"/>
    <n v="1"/>
    <n v="15500"/>
    <n v="0"/>
    <n v="0"/>
    <n v="15956"/>
    <s v="350133663984164"/>
    <n v="-456"/>
  </r>
  <r>
    <x v="6"/>
    <x v="0"/>
    <x v="9"/>
    <s v="MT/GDRB/169"/>
    <s v="07/04/2026"/>
    <s v="A176NL(A17 5G-6/128GB) W/O TA BLACK:SAMSUNG:MOBILE"/>
    <n v="1"/>
    <n v="18700"/>
    <n v="0"/>
    <n v="0"/>
    <n v="18502"/>
    <s v="355299982812249"/>
    <n v="198"/>
  </r>
  <r>
    <x v="6"/>
    <x v="0"/>
    <x v="9"/>
    <s v="MT/GDRB/235"/>
    <s v="08/04/2026"/>
    <s v="E176BA(F17 5G-4/128GB) NEO BLACK:SAMSUNG:MOBILE"/>
    <n v="1"/>
    <n v="15500"/>
    <n v="0"/>
    <n v="0"/>
    <n v="15956"/>
    <s v="350133663986482"/>
    <n v="-456"/>
  </r>
  <r>
    <x v="6"/>
    <x v="0"/>
    <x v="9"/>
    <s v="MT/GDRB/268"/>
    <s v="09/04/2026"/>
    <s v="A176BN(A17 5G-8/256GB) BLUE:SAMSUNG:MOBILE"/>
    <n v="1"/>
    <n v="22000"/>
    <n v="0"/>
    <n v="0"/>
    <n v="21968"/>
    <s v="350037990267443"/>
    <n v="32"/>
  </r>
  <r>
    <x v="6"/>
    <x v="0"/>
    <x v="9"/>
    <s v="MT/GDRB/319"/>
    <s v="11/04/2026"/>
    <s v="A176NM(A17 5G-8/128GB) W/O TA BLACK:SAMSUNG:MOBILE"/>
    <n v="1"/>
    <n v="21000"/>
    <n v="0"/>
    <n v="0"/>
    <n v="21209"/>
    <s v="356137747312270"/>
    <n v="-209"/>
  </r>
  <r>
    <x v="6"/>
    <x v="0"/>
    <x v="9"/>
    <s v="MT/GDRB/329"/>
    <s v="11/04/2026"/>
    <s v="A176NN(A17 5G-8/256GB) W/O TA GRAY:SAMSUNG:MOBILE"/>
    <n v="1"/>
    <n v="26500"/>
    <n v="0"/>
    <n v="0"/>
    <n v="25271"/>
    <s v="350037992182988"/>
    <n v="1229"/>
  </r>
  <r>
    <x v="6"/>
    <x v="0"/>
    <x v="5"/>
    <s v="MT/GDRB/39"/>
    <s v="02/04/2026"/>
    <s v="POVA 7 PRO (JL8-8/128GB) GEEK BLACK:TECNO:MOBILE"/>
    <n v="1"/>
    <n v="18999"/>
    <n v="0"/>
    <n v="0"/>
    <n v="17110"/>
    <s v="359299520254470"/>
    <n v="1889"/>
  </r>
  <r>
    <x v="6"/>
    <x v="0"/>
    <x v="6"/>
    <s v="MT/GDRB/15"/>
    <s v="01/04/2026"/>
    <s v="T5X 5G (6/128GB) CYBER GREEN:VIVO:MOBILE"/>
    <n v="1"/>
    <n v="18500"/>
    <n v="0"/>
    <n v="0"/>
    <n v="18320"/>
    <s v="863204086854837"/>
    <n v="180"/>
  </r>
  <r>
    <x v="6"/>
    <x v="0"/>
    <x v="6"/>
    <s v="MT/GDRB/50"/>
    <s v="02/04/2026"/>
    <s v="Y31 5G (4/128GB) ROSE RED:VIVO:MOBILE"/>
    <n v="1"/>
    <n v="17300"/>
    <n v="0"/>
    <n v="0"/>
    <n v="17482"/>
    <s v="866592085247012"/>
    <n v="-182"/>
  </r>
  <r>
    <x v="6"/>
    <x v="0"/>
    <x v="6"/>
    <s v="MT/GDRB/100"/>
    <s v="04/04/2026"/>
    <s v="Y31 5G (6/128GB) DIAMOND GREEN:VIVO:MOBILE"/>
    <n v="1"/>
    <n v="20501"/>
    <n v="0"/>
    <n v="0"/>
    <n v="19370"/>
    <s v="861135082658966"/>
    <n v="1131"/>
  </r>
  <r>
    <x v="6"/>
    <x v="0"/>
    <x v="6"/>
    <s v="MT/GDRB/123"/>
    <s v="05/04/2026"/>
    <s v="T4 LITE 5G (6/128GB) TITANIUM GOLD:VIVO:MOBILE"/>
    <n v="1"/>
    <n v="14500"/>
    <n v="0"/>
    <n v="0"/>
    <n v="14463"/>
    <s v="863477087363269"/>
    <n v="37"/>
  </r>
  <r>
    <x v="6"/>
    <x v="0"/>
    <x v="6"/>
    <s v="MT/GDRB/172"/>
    <s v="07/04/2026"/>
    <s v="Y19E (4/64GB) TITANIUM SILVER:VIVO:MOBILE"/>
    <n v="1"/>
    <n v="9500"/>
    <n v="0"/>
    <n v="0"/>
    <n v="9439"/>
    <s v="868237074609685"/>
    <n v="61"/>
  </r>
  <r>
    <x v="6"/>
    <x v="0"/>
    <x v="7"/>
    <s v="MT/GDRB/114"/>
    <s v="05/04/2026"/>
    <s v="REDMI NOTE 15 PRO+ (8/256GB) CARBON BLACK:XIAOMI:MOBILE"/>
    <n v="1"/>
    <n v="35000"/>
    <n v="0"/>
    <n v="0"/>
    <n v="34519"/>
    <s v="869616081034780"/>
    <n v="481"/>
  </r>
  <r>
    <x v="6"/>
    <x v="0"/>
    <x v="7"/>
    <s v="MT/GDRB/190"/>
    <s v="08/04/2026"/>
    <s v="REDMI A5 (3/64GB) PONDICHERRY BLUE:XIAOMI:MOBILE"/>
    <n v="1"/>
    <n v="7300"/>
    <n v="0"/>
    <n v="0"/>
    <n v="7510"/>
    <s v="864902084242009"/>
    <n v="-210"/>
  </r>
  <r>
    <x v="6"/>
    <x v="0"/>
    <x v="7"/>
    <s v="MT/GDRB/218"/>
    <s v="08/04/2026"/>
    <s v="REDMI 15A 5G (4/128GB) AWESOME BLUE:XIAOMI:MOBILE"/>
    <n v="1"/>
    <n v="14000"/>
    <n v="0"/>
    <n v="0"/>
    <n v="13539"/>
    <s v="866938081800306"/>
    <n v="461"/>
  </r>
  <r>
    <x v="6"/>
    <x v="0"/>
    <x v="7"/>
    <s v="MT/GDRB/271"/>
    <s v="09/04/2026"/>
    <s v="REDMI 15A 5G (6/128GB) AMAZE PURPLE:XIAOMI:MOBILE"/>
    <n v="1"/>
    <n v="15300"/>
    <n v="0"/>
    <n v="0"/>
    <n v="15407"/>
    <s v="866938081048443"/>
    <n v="-107"/>
  </r>
  <r>
    <x v="6"/>
    <x v="0"/>
    <x v="7"/>
    <s v="MT/GDRB/320"/>
    <s v="11/04/2026"/>
    <s v="REDMI 15A 5G (4/128GB) AMAZE PURPLE:XIAOMI:MOBILE"/>
    <n v="1"/>
    <n v="14200"/>
    <n v="0"/>
    <n v="0"/>
    <n v="13539"/>
    <s v="866938081361887"/>
    <n v="661"/>
  </r>
  <r>
    <x v="7"/>
    <x v="1"/>
    <x v="0"/>
    <s v="MT/ACB/167"/>
    <s v="03/04/2026"/>
    <s v="SMART 10 (4/64GB) IRIS BLUE:INFINIX:MOBILE"/>
    <n v="1"/>
    <n v="7800"/>
    <n v="0"/>
    <n v="0"/>
    <n v="8122"/>
    <s v="356821920108270"/>
    <n v="-322"/>
  </r>
  <r>
    <x v="7"/>
    <x v="1"/>
    <x v="3"/>
    <s v="MT/ACB/122"/>
    <s v="02/04/2026"/>
    <s v="MOTO G67 POWER (8/128GB) CILANTRO:MOTOROLA:MOBILE"/>
    <n v="1"/>
    <n v="16500"/>
    <n v="0"/>
    <n v="0"/>
    <n v="16511"/>
    <s v="356231213231476"/>
    <n v="-11"/>
  </r>
  <r>
    <x v="7"/>
    <x v="1"/>
    <x v="3"/>
    <s v="MT/ACB/298"/>
    <s v="05/04/2026"/>
    <s v="MOTO G67 POWER (8/128GB) CILANTRO:MOTOROLA:MOBILE"/>
    <n v="1"/>
    <n v="16999"/>
    <n v="0"/>
    <n v="0"/>
    <n v="16511"/>
    <s v="356231213511059"/>
    <n v="488"/>
  </r>
  <r>
    <x v="7"/>
    <x v="1"/>
    <x v="3"/>
    <s v="MT/ACB/326"/>
    <s v="06/04/2026"/>
    <s v="MOTO G67 POWER (8/128GB) CILANTRO:MOTOROLA:MOBILE"/>
    <n v="1"/>
    <n v="16999"/>
    <n v="0"/>
    <n v="0"/>
    <n v="16511"/>
    <s v="356231213515696"/>
    <n v="488"/>
  </r>
  <r>
    <x v="7"/>
    <x v="1"/>
    <x v="3"/>
    <s v="MT/ACB/486"/>
    <s v="08/04/2026"/>
    <s v="MOTO G35 (4/128GB) MIDNIGHT BLACK:MOTOROLA:MOBILE"/>
    <n v="1"/>
    <n v="12200"/>
    <n v="0"/>
    <n v="0"/>
    <n v="12140"/>
    <s v="358557214340090"/>
    <n v="60"/>
  </r>
  <r>
    <x v="7"/>
    <x v="1"/>
    <x v="3"/>
    <s v="MT/ACB/507"/>
    <s v="08/04/2026"/>
    <s v="MOTO G67 POWER (8/128GB) BLUE:MOTOROLA:MOBILE"/>
    <n v="1"/>
    <n v="16500"/>
    <n v="0"/>
    <n v="0"/>
    <n v="16511"/>
    <s v="356944978047370"/>
    <n v="-11"/>
  </r>
  <r>
    <x v="7"/>
    <x v="1"/>
    <x v="2"/>
    <s v="MT/ACB/255"/>
    <s v="04/04/2026"/>
    <s v="NORD 5 (8/256GB) PHANTOM GREY:ONE PLUS:MOBILE"/>
    <n v="1"/>
    <n v="32999"/>
    <n v="0"/>
    <n v="0"/>
    <n v="33129"/>
    <s v="869066074631657"/>
    <n v="-130"/>
  </r>
  <r>
    <x v="7"/>
    <x v="1"/>
    <x v="11"/>
    <s v="MT/ACB/17"/>
    <s v="01/04/2026"/>
    <s v="RENO 15C 5G (8/256GB) TWILIGHT BLUE:OPPO:MOBILE"/>
    <n v="1"/>
    <n v="35000"/>
    <n v="0"/>
    <n v="0"/>
    <n v="34840"/>
    <s v="864052086005119"/>
    <n v="160"/>
  </r>
  <r>
    <x v="7"/>
    <x v="1"/>
    <x v="11"/>
    <s v="MT/ACB/88"/>
    <s v="02/04/2026"/>
    <s v="F31 5G (8/128GB) CLOUD GREEN:OPPO:MOBILE"/>
    <n v="1"/>
    <n v="26000"/>
    <n v="0"/>
    <n v="0"/>
    <n v="25201"/>
    <s v="862080084971257"/>
    <n v="799"/>
  </r>
  <r>
    <x v="7"/>
    <x v="1"/>
    <x v="11"/>
    <s v="MT/ACB/247"/>
    <s v="04/04/2026"/>
    <s v="F31 5G (8/256GB) MIDNIGHT BLUE:OPPO:MOBILE"/>
    <n v="1"/>
    <n v="27399"/>
    <n v="0"/>
    <n v="0"/>
    <n v="27068"/>
    <s v="862080084308252"/>
    <n v="331"/>
  </r>
  <r>
    <x v="7"/>
    <x v="1"/>
    <x v="11"/>
    <s v="MT/ACB/270"/>
    <s v="05/04/2026"/>
    <s v="RENO 15C 5G (8/256GB) TWILIGHT BLUE:OPPO:MOBILE"/>
    <n v="1"/>
    <n v="36350"/>
    <n v="0"/>
    <n v="0"/>
    <n v="34840"/>
    <s v="864052086241813"/>
    <n v="1510"/>
  </r>
  <r>
    <x v="7"/>
    <x v="1"/>
    <x v="11"/>
    <s v="MT/ACB/370"/>
    <s v="06/04/2026"/>
    <s v="A5 PRO 5G (8/128GB) FEATHER BLUE:OPPO:MOBILE"/>
    <n v="1"/>
    <n v="17970"/>
    <n v="0"/>
    <n v="0"/>
    <n v="17969"/>
    <s v="866254076413810"/>
    <n v="1"/>
  </r>
  <r>
    <x v="7"/>
    <x v="1"/>
    <x v="11"/>
    <s v="MT/ACB/388"/>
    <s v="06/04/2026"/>
    <s v="A5 PRO 5G (8/128GB) FEATHER BLUE:OPPO:MOBILE"/>
    <n v="1"/>
    <n v="18500"/>
    <n v="0"/>
    <n v="0"/>
    <n v="17969"/>
    <s v="869120078776016"/>
    <n v="531"/>
  </r>
  <r>
    <x v="7"/>
    <x v="1"/>
    <x v="11"/>
    <s v="MT/ACB/440"/>
    <s v="07/04/2026"/>
    <s v="F31 PRO 5G (8/128GB) SPACE GREY:OPPO:MOBILE"/>
    <n v="1"/>
    <n v="25799"/>
    <n v="0"/>
    <n v="0"/>
    <n v="25729"/>
    <s v="865761076500710"/>
    <n v="70"/>
  </r>
  <r>
    <x v="7"/>
    <x v="1"/>
    <x v="11"/>
    <s v="MT/ACB/492"/>
    <s v="08/04/2026"/>
    <s v="A5 PRO 5G (8/128GB) FEATHER BLUE:OPPO:MOBILE"/>
    <n v="1"/>
    <n v="18200"/>
    <n v="0"/>
    <n v="0"/>
    <n v="17969"/>
    <s v="863651072377316"/>
    <n v="231"/>
  </r>
  <r>
    <x v="7"/>
    <x v="1"/>
    <x v="11"/>
    <s v="MT/ACB/549"/>
    <s v="09/04/2026"/>
    <s v="A5 PRO 5G (8/128GB) FEATHER BLUE:OPPO:MOBILE"/>
    <n v="1"/>
    <n v="18500"/>
    <n v="0"/>
    <n v="0"/>
    <n v="17969"/>
    <s v="866860076074491"/>
    <n v="531"/>
  </r>
  <r>
    <x v="7"/>
    <x v="1"/>
    <x v="11"/>
    <s v="MT/ACB/673"/>
    <s v="10/04/2026"/>
    <s v="K14 5G (6/256GB) PRISM WHITE:OPPO:MOBILE"/>
    <n v="1"/>
    <n v="21999"/>
    <n v="0"/>
    <n v="0"/>
    <n v="21212"/>
    <s v="860399082447017"/>
    <n v="787"/>
  </r>
  <r>
    <x v="7"/>
    <x v="1"/>
    <x v="9"/>
    <s v="MT/ACB/15"/>
    <s v="01/04/2026"/>
    <s v="E176BA(F17 5G-4/128GB) NEO BLACK:SAMSUNG:MOBILE"/>
    <n v="1"/>
    <n v="16500"/>
    <n v="0"/>
    <n v="0"/>
    <n v="15956"/>
    <s v="350133667471101"/>
    <n v="544"/>
  </r>
  <r>
    <x v="7"/>
    <x v="1"/>
    <x v="9"/>
    <s v="MT/ACB/161"/>
    <s v="03/04/2026"/>
    <s v="A075FD(A07 4G-4/64GB) GREEN:SAMSUNG:MOBILE"/>
    <n v="1"/>
    <n v="9000"/>
    <n v="0"/>
    <n v="0"/>
    <n v="8916"/>
    <s v="354372910214522"/>
    <n v="84"/>
  </r>
  <r>
    <x v="8"/>
    <x v="2"/>
    <x v="13"/>
    <s v="MT/SRB/174"/>
    <s v="07/04/2026"/>
    <s v="IT5608 NEO DEEP BLUE:ITEL:MOBILE"/>
    <n v="1"/>
    <n v="1500"/>
    <n v="0"/>
    <n v="0"/>
    <n v="1159"/>
    <s v="354162212640817"/>
    <n v="341"/>
  </r>
  <r>
    <x v="8"/>
    <x v="2"/>
    <x v="3"/>
    <s v="MT/SRB/33"/>
    <s v="02/04/2026"/>
    <s v="MOTO G96 (8/128GB) GREENER PASTURES:MOTOROLA:MOBILE"/>
    <n v="1"/>
    <n v="18999"/>
    <n v="0"/>
    <n v="0"/>
    <n v="18454"/>
    <s v="355024343669579"/>
    <n v="545"/>
  </r>
  <r>
    <x v="8"/>
    <x v="2"/>
    <x v="3"/>
    <s v="MT/SRB/300"/>
    <s v="11/04/2026"/>
    <s v="MOTO EDGE 70 FUSION (8/256GB) SILHOUTTE:MOTOROLA:MOBILE"/>
    <n v="1"/>
    <n v="29999"/>
    <n v="0"/>
    <n v="0"/>
    <n v="28862"/>
    <s v="357279952757036"/>
    <n v="1137"/>
  </r>
  <r>
    <x v="8"/>
    <x v="2"/>
    <x v="2"/>
    <s v="MT/SRB/182"/>
    <s v="07/04/2026"/>
    <s v="NORD 5 (8/256GB) PHANTOM GREY:ONE PLUS:MOBILE"/>
    <n v="1"/>
    <n v="33999"/>
    <n v="0"/>
    <n v="0"/>
    <n v="33129"/>
    <s v="869066074632291"/>
    <n v="870"/>
  </r>
  <r>
    <x v="8"/>
    <x v="2"/>
    <x v="2"/>
    <s v="MT/SRB/279"/>
    <s v="10/04/2026"/>
    <s v="NORD 5 (8/256GB) PHANTOM GREY:ONE PLUS:MOBILE"/>
    <n v="1"/>
    <n v="33500"/>
    <n v="0"/>
    <n v="0"/>
    <n v="33129"/>
    <s v="869066074632390"/>
    <n v="371"/>
  </r>
  <r>
    <x v="8"/>
    <x v="2"/>
    <x v="11"/>
    <s v="MT/SRB/29"/>
    <s v="02/04/2026"/>
    <s v="A6X 5G (6/128GB) ICE BLUE:OPPO:MOBILE"/>
    <n v="1"/>
    <n v="18999"/>
    <n v="0"/>
    <n v="0"/>
    <n v="17950"/>
    <s v="867932081945954"/>
    <n v="1049"/>
  </r>
  <r>
    <x v="8"/>
    <x v="2"/>
    <x v="4"/>
    <s v="MT/SRB/26"/>
    <s v="02/04/2026"/>
    <s v="C83 5G (4/64GB) BLOOMING PURPLE:REALME:MOBILE"/>
    <n v="1"/>
    <n v="13000"/>
    <n v="0"/>
    <n v="0"/>
    <n v="13582"/>
    <s v="863074082653131"/>
    <n v="-582"/>
  </r>
  <r>
    <x v="8"/>
    <x v="2"/>
    <x v="4"/>
    <s v="MT/SRB/70"/>
    <s v="03/04/2026"/>
    <s v="15 5G (8/128GB) VELVET GREEN:REALME:MOBILE"/>
    <n v="1"/>
    <n v="29999"/>
    <n v="0"/>
    <n v="0"/>
    <n v="27362"/>
    <s v="867624076357077"/>
    <n v="2637"/>
  </r>
  <r>
    <x v="8"/>
    <x v="2"/>
    <x v="4"/>
    <s v="MT/SRB/74"/>
    <s v="03/04/2026"/>
    <s v="C85 5G (6/128GB) PEACOCK GREEN:REALME:MOBILE"/>
    <n v="1"/>
    <n v="21500"/>
    <n v="0"/>
    <n v="0"/>
    <n v="20246"/>
    <s v="869746084754397"/>
    <n v="1254"/>
  </r>
  <r>
    <x v="8"/>
    <x v="2"/>
    <x v="4"/>
    <s v="MT/SRB/100"/>
    <s v="04/04/2026"/>
    <s v="16 PRO+ 5G (8/128GB) MASTER GOLD:REALME:MOBILE"/>
    <n v="1"/>
    <n v="43000"/>
    <n v="0"/>
    <n v="0"/>
    <n v="40131"/>
    <s v="865616082447050"/>
    <n v="2869"/>
  </r>
  <r>
    <x v="8"/>
    <x v="2"/>
    <x v="4"/>
    <s v="MT/SRB/131"/>
    <s v="05/04/2026"/>
    <s v="C83 5G (6/128GB) SPROUTING GREEN:REALME:MOBILE"/>
    <n v="1"/>
    <n v="18000"/>
    <n v="0"/>
    <n v="0"/>
    <n v="17329"/>
    <s v="866276083097617"/>
    <n v="671"/>
  </r>
  <r>
    <x v="8"/>
    <x v="2"/>
    <x v="4"/>
    <s v="MT/SRB/148"/>
    <s v="06/04/2026"/>
    <s v="16 PRO 5G (8/256GB) PEBBLE GREY:REALME:MOBILE"/>
    <n v="1"/>
    <n v="37300"/>
    <n v="0"/>
    <n v="0"/>
    <n v="34658"/>
    <s v="869883082901090"/>
    <n v="2642"/>
  </r>
  <r>
    <x v="8"/>
    <x v="2"/>
    <x v="4"/>
    <s v="MT/SRB/151"/>
    <s v="06/04/2026"/>
    <s v="16 5G (8/128GB) AIR WHITE:REALME:MOBILE"/>
    <n v="1"/>
    <n v="31864"/>
    <n v="0"/>
    <n v="0"/>
    <n v="29186"/>
    <s v="866389080298656"/>
    <n v="2678"/>
  </r>
  <r>
    <x v="8"/>
    <x v="2"/>
    <x v="4"/>
    <s v="MT/SRB/161"/>
    <s v="06/04/2026"/>
    <s v="C85 5G (4/128GB) PEACOCK GREEN:REALME:MOBILE"/>
    <n v="1"/>
    <n v="19250"/>
    <n v="0"/>
    <n v="0"/>
    <n v="18734"/>
    <s v="868038080198857"/>
    <n v="516"/>
  </r>
  <r>
    <x v="8"/>
    <x v="2"/>
    <x v="4"/>
    <s v="MT/SRB/180"/>
    <s v="07/04/2026"/>
    <s v="16 5G (8/128GB) AIR WHITE:REALME:MOBILE"/>
    <n v="1"/>
    <n v="31000"/>
    <n v="0"/>
    <n v="0"/>
    <n v="29186"/>
    <s v="866389080238751"/>
    <n v="1814"/>
  </r>
  <r>
    <x v="8"/>
    <x v="2"/>
    <x v="4"/>
    <s v="MT/SRB/229"/>
    <s v="08/04/2026"/>
    <s v="C83 5G (6/128GB) SPROUTING GREEN:REALME:MOBILE"/>
    <n v="1"/>
    <n v="18000"/>
    <n v="0"/>
    <n v="0"/>
    <n v="17329"/>
    <s v="866276083063353"/>
    <n v="671"/>
  </r>
  <r>
    <x v="8"/>
    <x v="2"/>
    <x v="4"/>
    <s v="MT/SRB/232"/>
    <s v="08/04/2026"/>
    <s v="15T 5G (8/256GB) SUIT TITANIUM:REALME:MOBILE"/>
    <n v="1"/>
    <n v="27200"/>
    <n v="0"/>
    <n v="0"/>
    <n v="26449"/>
    <s v="868088085801252"/>
    <n v="751"/>
  </r>
  <r>
    <x v="8"/>
    <x v="2"/>
    <x v="4"/>
    <s v="MT/SRB/235"/>
    <s v="09/04/2026"/>
    <s v="16 5G (8/256GB) AIR BLACK:REALME:MOBILE"/>
    <n v="1"/>
    <n v="32200"/>
    <n v="0"/>
    <n v="0"/>
    <n v="31010"/>
    <s v="860602080233192"/>
    <n v="1190"/>
  </r>
  <r>
    <x v="8"/>
    <x v="2"/>
    <x v="4"/>
    <s v="MT/SRB/241"/>
    <s v="09/04/2026"/>
    <s v="C83 5G (4/128GB) SPROUTING GREEN:REALME:MOBILE(T.VALUE)"/>
    <n v="1"/>
    <n v="13500"/>
    <n v="0"/>
    <n v="0"/>
    <n v="14175"/>
    <s v="860543080403973"/>
    <n v="-675"/>
  </r>
  <r>
    <x v="8"/>
    <x v="2"/>
    <x v="4"/>
    <s v="MT/SRB/255"/>
    <s v="09/04/2026"/>
    <s v="C85 5G (4/128GB) PEACOCK GREEN:REALME:MOBILE"/>
    <n v="1"/>
    <n v="19200"/>
    <n v="0"/>
    <n v="0"/>
    <n v="18734"/>
    <s v="868038080196497"/>
    <n v="466"/>
  </r>
  <r>
    <x v="8"/>
    <x v="2"/>
    <x v="4"/>
    <s v="MT/SRB/280"/>
    <s v="10/04/2026"/>
    <s v="C71 (4/64GB) SEA BLUE:REALME:MOBILE"/>
    <n v="1"/>
    <n v="10999"/>
    <n v="0"/>
    <n v="0"/>
    <n v="10303"/>
    <s v="861950082237656"/>
    <n v="696"/>
  </r>
  <r>
    <x v="8"/>
    <x v="2"/>
    <x v="5"/>
    <s v="MT/SRB/87"/>
    <s v="03/04/2026"/>
    <s v="POVA SLIM 5G (KM9-8/128GB) SKY BLUE:TECNO:MOBILE"/>
    <n v="1"/>
    <n v="19208"/>
    <n v="0"/>
    <n v="0"/>
    <n v="18601"/>
    <s v="350984210941812"/>
    <n v="607"/>
  </r>
  <r>
    <x v="8"/>
    <x v="2"/>
    <x v="6"/>
    <s v="MT/SRB/173"/>
    <s v="06/04/2026"/>
    <s v="Y11 5G (4/64GB) MIDNIGHT BLUE:VIVO:MOBILE"/>
    <n v="1"/>
    <n v="14500"/>
    <n v="0"/>
    <n v="0"/>
    <n v="14010"/>
    <s v="864001088786457"/>
    <n v="490"/>
  </r>
  <r>
    <x v="8"/>
    <x v="2"/>
    <x v="7"/>
    <s v="MT/SRB/98"/>
    <s v="04/04/2026"/>
    <s v="REDMI 15A 5G (4/64GB) AMAZE PURPLE:XIAOMI:MOBILE"/>
    <n v="1"/>
    <n v="12900"/>
    <n v="0"/>
    <n v="0"/>
    <n v="12605"/>
    <s v="866938083833925"/>
    <n v="295"/>
  </r>
  <r>
    <x v="8"/>
    <x v="2"/>
    <x v="7"/>
    <s v="MT/SRB/145"/>
    <s v="06/04/2026"/>
    <s v="REDMI A5 (3/64GB) JAISALMER GOLD:XIAOMI:MOBILE"/>
    <n v="1"/>
    <n v="7600"/>
    <n v="0"/>
    <n v="0"/>
    <n v="7510"/>
    <s v="864902083050684"/>
    <n v="90"/>
  </r>
  <r>
    <x v="9"/>
    <x v="2"/>
    <x v="3"/>
    <s v="MT/SRB/31"/>
    <s v="02/04/2026"/>
    <s v="MOTO EDGE 60 FUSION (12/256GB) AMAZONITE:MOTOROLA:MOBILE"/>
    <n v="1"/>
    <n v="24300"/>
    <n v="0"/>
    <n v="0"/>
    <n v="24051"/>
    <s v="357719196550317"/>
    <n v="249"/>
  </r>
  <r>
    <x v="9"/>
    <x v="2"/>
    <x v="3"/>
    <s v="MT/SRB/121"/>
    <s v="05/04/2026"/>
    <s v="MOTO EDGE 70 FUSION (8/128GB) SILHOUTTE:MOTOROLA:MOBILE"/>
    <n v="1"/>
    <n v="26200"/>
    <n v="0"/>
    <n v="0"/>
    <n v="25975"/>
    <s v="353324456584330"/>
    <n v="225"/>
  </r>
  <r>
    <x v="9"/>
    <x v="2"/>
    <x v="3"/>
    <s v="MT/SRB/197"/>
    <s v="07/04/2026"/>
    <s v="MOTO G96 (8/128GB) DRESDEN BLUE:MOTOROLA:MOBILE"/>
    <n v="1"/>
    <n v="18700"/>
    <n v="0"/>
    <n v="0"/>
    <n v="18454"/>
    <s v="354080687110415"/>
    <n v="246"/>
  </r>
  <r>
    <x v="9"/>
    <x v="2"/>
    <x v="1"/>
    <s v="MT/SRB/220"/>
    <s v="08/04/2026"/>
    <s v="N130(M-DUALSIM) LIGHT-GOLD:NOKIA:MOBILE"/>
    <n v="1"/>
    <n v="2100"/>
    <n v="0"/>
    <n v="0"/>
    <n v="2034"/>
    <s v="350866496964263"/>
    <n v="66"/>
  </r>
  <r>
    <x v="9"/>
    <x v="2"/>
    <x v="11"/>
    <s v="MT/SRB/200"/>
    <s v="07/04/2026"/>
    <s v="A6 PRO 5G (8/256GB) CAPPUCCINO BROWN:OPPO:MOBILE"/>
    <n v="1"/>
    <n v="28219"/>
    <n v="0"/>
    <n v="0"/>
    <n v="27506"/>
    <s v="866325087813816"/>
    <n v="713"/>
  </r>
  <r>
    <x v="9"/>
    <x v="2"/>
    <x v="4"/>
    <s v="MT/SRB/258"/>
    <s v="09/04/2026"/>
    <s v="C71 (4/64GB) SEA BLUE:REALME:MOBILE"/>
    <n v="1"/>
    <n v="10999"/>
    <n v="0"/>
    <n v="0"/>
    <n v="10303"/>
    <s v="861950082236658"/>
    <n v="696"/>
  </r>
  <r>
    <x v="9"/>
    <x v="2"/>
    <x v="9"/>
    <s v="MT/SRB/45"/>
    <s v="02/04/2026"/>
    <s v="A076BC(A07 5G-6/128GB) BLACK:SAMSUNG:MOBILE"/>
    <n v="1"/>
    <n v="17700"/>
    <n v="0"/>
    <n v="0"/>
    <n v="16245"/>
    <s v="351699500755172"/>
    <n v="1455"/>
  </r>
  <r>
    <x v="9"/>
    <x v="2"/>
    <x v="9"/>
    <s v="MT/SRB/108"/>
    <s v="04/04/2026"/>
    <s v="A376ED(A37 5G-8/128GB) CHARCOAL:SAMSUNG:MOBILE"/>
    <n v="1"/>
    <n v="39000"/>
    <n v="0"/>
    <n v="0"/>
    <n v="37518"/>
    <s v="351008510037375"/>
    <n v="1482"/>
  </r>
  <r>
    <x v="9"/>
    <x v="2"/>
    <x v="9"/>
    <s v="MT/SRB/282"/>
    <s v="11/04/2026"/>
    <s v="A066BG(A06 5G-4/128GB) LIGHT GREEN:SAMSUNG:MOBILE"/>
    <n v="1"/>
    <n v="15499"/>
    <n v="0"/>
    <n v="0"/>
    <n v="13989"/>
    <s v="353285228414298"/>
    <n v="1510"/>
  </r>
  <r>
    <x v="9"/>
    <x v="2"/>
    <x v="6"/>
    <s v="MT/SRB/13"/>
    <s v="01/04/2026"/>
    <s v="Y31 5G (6/128GB) ROSE RED:VIVO:MOBILE"/>
    <n v="1"/>
    <n v="20300"/>
    <n v="0"/>
    <n v="0"/>
    <n v="19370"/>
    <s v="861135081916787"/>
    <n v="930"/>
  </r>
  <r>
    <x v="9"/>
    <x v="2"/>
    <x v="6"/>
    <s v="MT/SRB/23"/>
    <s v="02/04/2026"/>
    <s v="X200T (12/256GB) SEASIDE LILAC:VIVO:MOBILE"/>
    <n v="1"/>
    <n v="59000"/>
    <n v="0"/>
    <n v="0"/>
    <n v="57854"/>
    <s v="862881089037139"/>
    <n v="1146"/>
  </r>
  <r>
    <x v="9"/>
    <x v="2"/>
    <x v="6"/>
    <s v="MT/SRB/130"/>
    <s v="05/04/2026"/>
    <s v="Y51 PRO 5G (8/128GB) NOBLE GOLD:VIVO:MOBILE"/>
    <n v="1"/>
    <n v="24000"/>
    <n v="0"/>
    <n v="0"/>
    <n v="23147"/>
    <s v="864155081166305"/>
    <n v="853"/>
  </r>
  <r>
    <x v="9"/>
    <x v="2"/>
    <x v="6"/>
    <s v="MT/SRB/153"/>
    <s v="06/04/2026"/>
    <s v="Y51 PRO 5G (8/128GB) FESTIVE RED:VIVO:MOBILE"/>
    <n v="1"/>
    <n v="24999"/>
    <n v="0"/>
    <n v="0"/>
    <n v="23147"/>
    <s v="864155084088779"/>
    <n v="1852"/>
  </r>
  <r>
    <x v="9"/>
    <x v="2"/>
    <x v="6"/>
    <s v="MT/SRB/168"/>
    <s v="06/04/2026"/>
    <s v="Y51 PRO 5G (8/128GB) FESTIVE RED:VIVO:MOBILE"/>
    <n v="1"/>
    <n v="24000"/>
    <n v="0"/>
    <n v="0"/>
    <n v="23147"/>
    <s v="864155084089694"/>
    <n v="853"/>
  </r>
  <r>
    <x v="9"/>
    <x v="2"/>
    <x v="6"/>
    <s v="MT/SRB/221"/>
    <s v="08/04/2026"/>
    <s v="V70 FE 5G (8/128GB) MONSOON BLUE:VIVO:MOBILE"/>
    <n v="1"/>
    <n v="35800"/>
    <n v="0"/>
    <n v="0"/>
    <n v="35123"/>
    <s v="861130084278491"/>
    <n v="677"/>
  </r>
  <r>
    <x v="9"/>
    <x v="2"/>
    <x v="6"/>
    <s v="MT/SRB/251"/>
    <s v="09/04/2026"/>
    <s v="Y51 PRO 5G (8/128GB) FESTIVE RED:VIVO:MOBILE"/>
    <n v="1"/>
    <n v="24500"/>
    <n v="0"/>
    <n v="0"/>
    <n v="23147"/>
    <s v="864155083491412"/>
    <n v="1353"/>
  </r>
  <r>
    <x v="9"/>
    <x v="2"/>
    <x v="6"/>
    <s v="MT/SRB/270"/>
    <s v="10/04/2026"/>
    <s v="V70 FE 5G (12/256GB) MONSOON BLUE:VIVO:MOBILE"/>
    <n v="1"/>
    <n v="41500"/>
    <n v="0"/>
    <n v="0"/>
    <n v="41355"/>
    <s v="861130085926650"/>
    <n v="145"/>
  </r>
  <r>
    <x v="10"/>
    <x v="2"/>
    <x v="13"/>
    <s v="MT/SRB/184"/>
    <s v="07/04/2026"/>
    <s v="IT3010A KING SIGNAL ARMY GREEN:ITEL:MOBILE"/>
    <n v="1"/>
    <n v="1750"/>
    <n v="0"/>
    <n v="0"/>
    <n v="1129"/>
    <s v="356911821690813"/>
    <n v="621"/>
  </r>
  <r>
    <x v="10"/>
    <x v="2"/>
    <x v="11"/>
    <s v="MT/SRB/20"/>
    <s v="01/04/2026"/>
    <s v="F31 5G (8/128GB) CLOUD GREEN:OPPO:MOBILE"/>
    <n v="1"/>
    <n v="25500"/>
    <n v="0"/>
    <n v="0"/>
    <n v="25201"/>
    <s v="862080084758779"/>
    <n v="299"/>
  </r>
  <r>
    <x v="10"/>
    <x v="2"/>
    <x v="11"/>
    <s v="MT/SRB/21"/>
    <s v="01/04/2026"/>
    <s v="A6S 5G (6/128GB) PLUM PURPLE:OPPO:MOBILE"/>
    <n v="1"/>
    <n v="19528"/>
    <n v="0"/>
    <n v="0"/>
    <n v="19297"/>
    <s v="867546089253995"/>
    <n v="231"/>
  </r>
  <r>
    <x v="10"/>
    <x v="2"/>
    <x v="11"/>
    <s v="MT/SRB/4"/>
    <s v="01/04/2026"/>
    <s v="A6S 5G (4/128GB) PLUM PURPLE:OPPO:MOBILE"/>
    <n v="1"/>
    <n v="18999"/>
    <n v="0"/>
    <n v="0"/>
    <n v="17773"/>
    <s v="867546086546474"/>
    <n v="1226"/>
  </r>
  <r>
    <x v="10"/>
    <x v="2"/>
    <x v="11"/>
    <s v="MT/SRB/71"/>
    <s v="03/04/2026"/>
    <s v="RENO 15C 5G (8/256GB) AFTERGLOW PINK:OPPO:MOBILE"/>
    <n v="1"/>
    <n v="36985"/>
    <n v="0"/>
    <n v="0"/>
    <n v="34840"/>
    <s v="864052086757099"/>
    <n v="2145"/>
  </r>
  <r>
    <x v="10"/>
    <x v="2"/>
    <x v="11"/>
    <s v="MT/SRB/91"/>
    <s v="04/04/2026"/>
    <s v="A6 5G (6/256GB) SAPPHIRE BLUE:OPPO:MOBILE"/>
    <n v="1"/>
    <n v="25000"/>
    <n v="0"/>
    <n v="0"/>
    <n v="24107"/>
    <s v="862869081031713"/>
    <n v="893"/>
  </r>
  <r>
    <x v="10"/>
    <x v="2"/>
    <x v="11"/>
    <s v="MT/SRB/126"/>
    <s v="05/04/2026"/>
    <s v="A6X 5G (4/128GB) ICE BLUE:OPPO:MOBILE"/>
    <n v="1"/>
    <n v="18000"/>
    <n v="0"/>
    <n v="0"/>
    <n v="18028"/>
    <s v="867932085999593"/>
    <n v="-28"/>
  </r>
  <r>
    <x v="10"/>
    <x v="2"/>
    <x v="11"/>
    <s v="MT/SRB/156"/>
    <s v="06/04/2026"/>
    <s v="A6X 5G (4/128GB) OLIVE GREEN:OPPO:MOBILE"/>
    <n v="1"/>
    <n v="18300"/>
    <n v="0"/>
    <n v="0"/>
    <n v="18028"/>
    <s v="864784085434755"/>
    <n v="272"/>
  </r>
  <r>
    <x v="10"/>
    <x v="2"/>
    <x v="11"/>
    <s v="MT/SRB/160"/>
    <s v="06/04/2026"/>
    <s v="F31 5G (8/256GB) MIDNIGHT BLUE:OPPO:MOBILE"/>
    <n v="1"/>
    <n v="28999"/>
    <n v="0"/>
    <n v="0"/>
    <n v="27068"/>
    <s v="862080084435790"/>
    <n v="1931"/>
  </r>
  <r>
    <x v="10"/>
    <x v="2"/>
    <x v="11"/>
    <s v="MT/SRB/185"/>
    <s v="07/04/2026"/>
    <s v="F31 PRO+ 5G (12/256GB) FESTIVAL PINK:OPPO:MOBILE"/>
    <n v="1"/>
    <n v="34600"/>
    <n v="0"/>
    <n v="0"/>
    <n v="32163"/>
    <s v="866418081196294"/>
    <n v="2437"/>
  </r>
  <r>
    <x v="10"/>
    <x v="2"/>
    <x v="11"/>
    <s v="MT/SRB/193"/>
    <s v="07/04/2026"/>
    <s v="F31 5G (8/256GB) BLOOM RED:OPPO:MOBILE"/>
    <n v="1"/>
    <n v="27113"/>
    <n v="0"/>
    <n v="0"/>
    <n v="26649"/>
    <s v="866048083495335"/>
    <n v="464"/>
  </r>
  <r>
    <x v="10"/>
    <x v="2"/>
    <x v="11"/>
    <s v="MT/SRB/214"/>
    <s v="08/04/2026"/>
    <s v="RENO 15C 5G (8/256GB) AFTERGLOW PINK:OPPO:MOBILE"/>
    <n v="1"/>
    <n v="36715"/>
    <n v="0"/>
    <n v="0"/>
    <n v="34683"/>
    <s v="864052086757115"/>
    <n v="2032"/>
  </r>
  <r>
    <x v="10"/>
    <x v="2"/>
    <x v="11"/>
    <s v="MT/SRB/237"/>
    <s v="09/04/2026"/>
    <s v="RENO 15 PRO MINI 5G (12/256GB) COCOA BROWN:OPPO:MOBILE"/>
    <n v="1"/>
    <n v="59164"/>
    <n v="0"/>
    <n v="0"/>
    <n v="54764"/>
    <s v="861143083293916"/>
    <n v="4400"/>
  </r>
  <r>
    <x v="10"/>
    <x v="2"/>
    <x v="11"/>
    <s v="MT/SRB/259"/>
    <s v="10/04/2026"/>
    <s v="A6X 5G (4/64GB) OLIVE GREEN:OPPO:MOBILE"/>
    <n v="1"/>
    <n v="16700"/>
    <n v="0"/>
    <n v="0"/>
    <n v="16007"/>
    <s v="864639088283858"/>
    <n v="693"/>
  </r>
  <r>
    <x v="10"/>
    <x v="2"/>
    <x v="11"/>
    <s v="MT/SRB/295"/>
    <s v="11/04/2026"/>
    <s v="F31 PRO 5G (8/128GB) SPACE GREY:OPPO:MOBILE"/>
    <n v="1"/>
    <n v="26756"/>
    <n v="0"/>
    <n v="0"/>
    <n v="25729"/>
    <s v="865761076462994"/>
    <n v="1027"/>
  </r>
  <r>
    <x v="10"/>
    <x v="2"/>
    <x v="6"/>
    <s v="MT/SRB/92"/>
    <s v="04/04/2026"/>
    <s v="Y11 5G (4/128GB) SUNRISE GOLD:VIVO:MOBILE"/>
    <n v="1"/>
    <n v="16999"/>
    <n v="0"/>
    <n v="0"/>
    <n v="15847"/>
    <s v="864001086250159"/>
    <n v="1152"/>
  </r>
  <r>
    <x v="11"/>
    <x v="2"/>
    <x v="3"/>
    <s v="MT/SRB/28"/>
    <s v="02/04/2026"/>
    <s v="MOTO EDGE 60 PRO (12/256GB) SHADOW:MOTOROLA:MOBILE"/>
    <n v="1"/>
    <n v="33999"/>
    <n v="0"/>
    <n v="0"/>
    <n v="32710"/>
    <s v="355377544223335"/>
    <n v="1289"/>
  </r>
  <r>
    <x v="11"/>
    <x v="2"/>
    <x v="3"/>
    <s v="MT/SRB/209"/>
    <s v="07/04/2026"/>
    <s v="MOTO EDGE 70 FUSION (8/128GB) COUNTRY AIR:MOTOROLA:MOBILE"/>
    <n v="1"/>
    <n v="26700"/>
    <n v="0"/>
    <n v="0"/>
    <n v="25975"/>
    <s v="353324456442638"/>
    <n v="725"/>
  </r>
  <r>
    <x v="11"/>
    <x v="2"/>
    <x v="12"/>
    <s v="MT/SRB/135"/>
    <s v="05/04/2026"/>
    <s v="PHONE 4A PRO (8/128GB) BLACK:NOTHING:MOBILE"/>
    <n v="1"/>
    <n v="39600"/>
    <n v="0"/>
    <n v="0"/>
    <n v="37944"/>
    <s v="357998630452856"/>
    <n v="1656"/>
  </r>
  <r>
    <x v="11"/>
    <x v="2"/>
    <x v="2"/>
    <s v="MT/SRB/165"/>
    <s v="06/04/2026"/>
    <s v="ONE PLUS 15 (16/512GB) SAND STORM:ONE PLUS:MOBILE"/>
    <n v="1"/>
    <n v="78500"/>
    <n v="0"/>
    <n v="0"/>
    <n v="77139"/>
    <s v="869919082626913"/>
    <n v="1361"/>
  </r>
  <r>
    <x v="11"/>
    <x v="2"/>
    <x v="11"/>
    <s v="MT/SRB/9"/>
    <s v="01/04/2026"/>
    <s v="A6X 5G (4/128GB) ICE BLUE:OPPO:MOBILE"/>
    <n v="1"/>
    <n v="16500"/>
    <n v="0"/>
    <n v="0"/>
    <n v="16130"/>
    <s v="864784085494817"/>
    <n v="370"/>
  </r>
  <r>
    <x v="11"/>
    <x v="2"/>
    <x v="11"/>
    <s v="MT/SRB/40"/>
    <s v="02/04/2026"/>
    <s v="A6 5G (6/128GB) SAPPHIRE BLUE:OPPO:MOBILE"/>
    <n v="1"/>
    <n v="20700"/>
    <n v="0"/>
    <n v="0"/>
    <n v="20580"/>
    <s v="862869084740518"/>
    <n v="120"/>
  </r>
  <r>
    <x v="11"/>
    <x v="2"/>
    <x v="11"/>
    <s v="MT/SRB/72"/>
    <s v="03/04/2026"/>
    <s v="F31 5G (8/256GB) MIDNIGHT BLUE:OPPO:MOBILE"/>
    <n v="1"/>
    <n v="28999"/>
    <n v="0"/>
    <n v="0"/>
    <n v="27068"/>
    <s v="862080082267278"/>
    <n v="1931"/>
  </r>
  <r>
    <x v="11"/>
    <x v="2"/>
    <x v="11"/>
    <s v="MT/SRB/257"/>
    <s v="09/04/2026"/>
    <s v="RENO 15C 5G (8/256GB) AFTERGLOW PINK:OPPO:MOBILE"/>
    <n v="1"/>
    <n v="37850"/>
    <n v="0"/>
    <n v="0"/>
    <n v="34683"/>
    <s v="864052086754591"/>
    <n v="3167"/>
  </r>
  <r>
    <x v="11"/>
    <x v="2"/>
    <x v="11"/>
    <s v="MT/SRB/281"/>
    <s v="10/04/2026"/>
    <s v="F31 PRO+ 5G (12/256GB) FESTIVAL PINK:OPPO:MOBILE"/>
    <n v="1"/>
    <n v="34000"/>
    <n v="0"/>
    <n v="0"/>
    <n v="32163"/>
    <s v="866418081196559"/>
    <n v="1837"/>
  </r>
  <r>
    <x v="11"/>
    <x v="2"/>
    <x v="4"/>
    <s v="MT/SRB/97"/>
    <s v="04/04/2026"/>
    <s v="P4X 5G (8/128GB) SILVER:REALME:MOBILE"/>
    <n v="1"/>
    <n v="18999"/>
    <n v="0"/>
    <n v="0"/>
    <n v="18421"/>
    <s v="861595085756234"/>
    <n v="578"/>
  </r>
  <r>
    <x v="11"/>
    <x v="2"/>
    <x v="4"/>
    <s v="MT/SRB/223"/>
    <s v="08/04/2026"/>
    <s v="C83 5G (4/128GB) BLOOMING PURPLE:REALME:MOBILE(T.VALUE)"/>
    <n v="1"/>
    <n v="14700"/>
    <n v="0"/>
    <n v="0"/>
    <n v="14175"/>
    <s v="863074083665951"/>
    <n v="525"/>
  </r>
  <r>
    <x v="11"/>
    <x v="2"/>
    <x v="4"/>
    <s v="MT/SRB/256"/>
    <s v="09/04/2026"/>
    <s v="C71 (4/64GB) SEA BLUE:REALME:MOBILE"/>
    <n v="1"/>
    <n v="10300"/>
    <n v="0"/>
    <n v="0"/>
    <n v="10303"/>
    <s v="861950082236997"/>
    <n v="-3"/>
  </r>
  <r>
    <x v="11"/>
    <x v="2"/>
    <x v="9"/>
    <s v="MT/SRB/226"/>
    <s v="08/04/2026"/>
    <s v="E176BA(F17 5G-4/128GB) VIOLET POP:SAMSUNG:MOBILE"/>
    <n v="1"/>
    <n v="16298"/>
    <n v="0"/>
    <n v="0"/>
    <n v="15956"/>
    <s v="350133667054600"/>
    <n v="342"/>
  </r>
  <r>
    <x v="11"/>
    <x v="2"/>
    <x v="5"/>
    <s v="MT/SRB/44"/>
    <s v="02/04/2026"/>
    <s v="POVA SLIM 5G (KM9-8/128GB) SKY BLUE:TECNO:MOBILE"/>
    <n v="1"/>
    <n v="20999"/>
    <n v="0"/>
    <n v="0"/>
    <n v="18601"/>
    <s v="350984210942406"/>
    <n v="2398"/>
  </r>
  <r>
    <x v="11"/>
    <x v="2"/>
    <x v="5"/>
    <s v="MT/SRB/105"/>
    <s v="04/04/2026"/>
    <s v="POVA SLIM 5G (KM9-8/128GB) SKY BLUE:TECNO:MOBILE"/>
    <n v="1"/>
    <n v="20200"/>
    <n v="0"/>
    <n v="0"/>
    <n v="18601"/>
    <s v="350984210977071"/>
    <n v="1599"/>
  </r>
  <r>
    <x v="11"/>
    <x v="2"/>
    <x v="6"/>
    <s v="MT/SRB/75"/>
    <s v="03/04/2026"/>
    <s v="Y11 5G (4/64GB) SUNRISE GOLD:VIVO:MOBILE"/>
    <n v="1"/>
    <n v="14999"/>
    <n v="0"/>
    <n v="0"/>
    <n v="14010"/>
    <s v="864001084350977"/>
    <n v="989"/>
  </r>
  <r>
    <x v="11"/>
    <x v="2"/>
    <x v="7"/>
    <s v="MT/SRB/146"/>
    <s v="06/04/2026"/>
    <s v="REDMI 15A 5G (4/64GB) AWESOME BLUE:XIAOMI:MOBILE"/>
    <n v="1"/>
    <n v="13000"/>
    <n v="0"/>
    <n v="0"/>
    <n v="12605"/>
    <s v="866938083523781"/>
    <n v="395"/>
  </r>
  <r>
    <x v="11"/>
    <x v="2"/>
    <x v="7"/>
    <s v="MT/SRB/213"/>
    <s v="07/04/2026"/>
    <s v="REDMI NOTE 15 PRO (8/256GB) CARBON BLACK:XIAOMI:MOBILE"/>
    <n v="1"/>
    <n v="30300"/>
    <n v="0"/>
    <n v="0"/>
    <n v="29069"/>
    <s v="867608071079125"/>
    <n v="1231"/>
  </r>
  <r>
    <x v="12"/>
    <x v="2"/>
    <x v="13"/>
    <s v="MT/SRB/22"/>
    <s v="02/04/2026"/>
    <s v="IT3010A KING SIGNAL ARMY GREEN:ITEL:MOBILE"/>
    <n v="1"/>
    <n v="1899"/>
    <n v="0"/>
    <n v="0"/>
    <n v="1129"/>
    <s v="356911821691316"/>
    <n v="770"/>
  </r>
  <r>
    <x v="12"/>
    <x v="2"/>
    <x v="3"/>
    <s v="MT/SRB/42"/>
    <s v="02/04/2026"/>
    <s v="MOTO G45 (8/128GB) DAHILA PURPPLE:MOTOROLA:MOBILE"/>
    <n v="1"/>
    <n v="12700"/>
    <n v="0"/>
    <n v="0"/>
    <n v="12626"/>
    <s v="353545922622359"/>
    <n v="74"/>
  </r>
  <r>
    <x v="12"/>
    <x v="2"/>
    <x v="3"/>
    <s v="MT/SRB/56"/>
    <s v="02/04/2026"/>
    <s v="MOTO G67 POWER (8/128GB) CILANTRO:MOTOROLA:MOBILE"/>
    <n v="1"/>
    <n v="16999"/>
    <n v="0"/>
    <n v="0"/>
    <n v="16511"/>
    <s v="356231213519250"/>
    <n v="488"/>
  </r>
  <r>
    <x v="12"/>
    <x v="2"/>
    <x v="3"/>
    <s v="MT/SRB/230"/>
    <s v="08/04/2026"/>
    <s v="MOTO EDGE 70 FUSION (8/128GB) SILHOUTTE:MOTOROLA:MOBILE"/>
    <n v="1"/>
    <n v="26999"/>
    <n v="0"/>
    <n v="0"/>
    <n v="25975"/>
    <s v="353324456574117"/>
    <n v="1024"/>
  </r>
  <r>
    <x v="12"/>
    <x v="2"/>
    <x v="1"/>
    <s v="MT/SRB/3"/>
    <s v="01/04/2026"/>
    <s v="N130(M-DUALSIM) DARK-BLUE:NOKIA:MOBILE"/>
    <n v="1"/>
    <n v="2199"/>
    <n v="0"/>
    <n v="0"/>
    <n v="1936"/>
    <s v="350866497430223"/>
    <n v="263"/>
  </r>
  <r>
    <x v="12"/>
    <x v="2"/>
    <x v="11"/>
    <s v="MT/SRB/25"/>
    <s v="02/04/2026"/>
    <s v="A6 PRO 5G (8/128GB) CAPPUCCINO BROWN:OPPO:MOBILE"/>
    <n v="1"/>
    <n v="24000"/>
    <n v="0"/>
    <n v="0"/>
    <n v="22973"/>
    <s v="867790081183475"/>
    <n v="1027"/>
  </r>
  <r>
    <x v="12"/>
    <x v="2"/>
    <x v="11"/>
    <s v="MT/SRB/289"/>
    <s v="11/04/2026"/>
    <s v="F31 PRO+ 5G (12/256GB) FESTIVAL PINK:OPPO:MOBILE"/>
    <n v="1"/>
    <n v="33625"/>
    <n v="0"/>
    <n v="0"/>
    <n v="32163"/>
    <s v="866418081131176"/>
    <n v="1462"/>
  </r>
  <r>
    <x v="12"/>
    <x v="2"/>
    <x v="4"/>
    <s v="MT/SRB/34"/>
    <s v="02/04/2026"/>
    <s v="C83 5G (6/128GB) SPROUTING GREEN:REALME:MOBILE"/>
    <n v="1"/>
    <n v="17500"/>
    <n v="0"/>
    <n v="0"/>
    <n v="17329"/>
    <s v="866276083063411"/>
    <n v="171"/>
  </r>
  <r>
    <x v="12"/>
    <x v="2"/>
    <x v="4"/>
    <s v="MT/SRB/48"/>
    <s v="02/04/2026"/>
    <s v="15T 5G (8/128GB) FLOWING SILVER:REALME:MOBILE"/>
    <n v="1"/>
    <n v="26300"/>
    <n v="0"/>
    <n v="0"/>
    <n v="24625"/>
    <s v="868088085352231"/>
    <n v="1675"/>
  </r>
  <r>
    <x v="12"/>
    <x v="2"/>
    <x v="4"/>
    <s v="MT/SRB/85"/>
    <s v="03/04/2026"/>
    <s v="15T 5G (8/256GB) SUIT TITANIUM:REALME:MOBILE"/>
    <n v="1"/>
    <n v="28300"/>
    <n v="0"/>
    <n v="0"/>
    <n v="26449"/>
    <s v="868088085640098"/>
    <n v="1851"/>
  </r>
  <r>
    <x v="12"/>
    <x v="2"/>
    <x v="4"/>
    <s v="MT/SRB/118"/>
    <s v="05/04/2026"/>
    <s v="16 5G (8/256GB) AIR BLACK:REALME:MOBILE"/>
    <n v="1"/>
    <n v="33000"/>
    <n v="0"/>
    <n v="0"/>
    <n v="31010"/>
    <s v="860602080246657"/>
    <n v="1990"/>
  </r>
  <r>
    <x v="12"/>
    <x v="2"/>
    <x v="4"/>
    <s v="MT/SRB/142"/>
    <s v="06/04/2026"/>
    <s v="C83 5G (6/128GB) SPROUTING GREEN:REALME:MOBILE"/>
    <n v="1"/>
    <n v="18000"/>
    <n v="0"/>
    <n v="0"/>
    <n v="17329"/>
    <s v="866276083063213"/>
    <n v="671"/>
  </r>
  <r>
    <x v="12"/>
    <x v="2"/>
    <x v="4"/>
    <s v="MT/SRB/167"/>
    <s v="06/04/2026"/>
    <s v="P4 LITE 5G (6/128GB) BLUE:REALME:MOBILE"/>
    <n v="1"/>
    <n v="16000"/>
    <n v="0"/>
    <n v="0"/>
    <n v="15997"/>
    <s v="863872080758699"/>
    <n v="3"/>
  </r>
  <r>
    <x v="12"/>
    <x v="2"/>
    <x v="4"/>
    <s v="MT/SRB/177"/>
    <s v="07/04/2026"/>
    <s v="16 5G (8/256GB) AIR BLACK:REALME:MOBILE"/>
    <n v="1"/>
    <n v="32728"/>
    <n v="0"/>
    <n v="0"/>
    <n v="31010"/>
    <s v="860602080258850"/>
    <n v="1718"/>
  </r>
  <r>
    <x v="12"/>
    <x v="2"/>
    <x v="4"/>
    <s v="MT/SRB/206"/>
    <s v="07/04/2026"/>
    <s v="16 5G (8/256GB) AIR WHITE:REALME:MOBILE"/>
    <n v="1"/>
    <n v="33999"/>
    <n v="0"/>
    <n v="0"/>
    <n v="31010"/>
    <s v="866389084012954"/>
    <n v="2989"/>
  </r>
  <r>
    <x v="12"/>
    <x v="2"/>
    <x v="4"/>
    <s v="MT/SRB/224"/>
    <s v="08/04/2026"/>
    <s v="16 5G (8/256GB) AIR WHITE:REALME:MOBILE"/>
    <n v="1"/>
    <n v="33000"/>
    <n v="0"/>
    <n v="0"/>
    <n v="31010"/>
    <s v="866389084064831"/>
    <n v="1990"/>
  </r>
  <r>
    <x v="12"/>
    <x v="2"/>
    <x v="4"/>
    <s v="MT/SRB/245"/>
    <s v="09/04/2026"/>
    <s v="C85 5G (4/128GB) PEACOCK GREEN:REALME:MOBILE"/>
    <n v="1"/>
    <n v="19000"/>
    <n v="0"/>
    <n v="0"/>
    <n v="18734"/>
    <s v="865420082568191"/>
    <n v="266"/>
  </r>
  <r>
    <x v="12"/>
    <x v="2"/>
    <x v="4"/>
    <s v="MT/SRB/274"/>
    <s v="10/04/2026"/>
    <s v="C85 5G (6/128GB) PARROT PURPLE:REALME:MOBILE"/>
    <n v="1"/>
    <n v="21999"/>
    <n v="0"/>
    <n v="0"/>
    <n v="20246"/>
    <s v="869746080869314"/>
    <n v="1753"/>
  </r>
  <r>
    <x v="12"/>
    <x v="2"/>
    <x v="4"/>
    <s v="MT/SRB/284"/>
    <s v="11/04/2026"/>
    <s v="16 5G (8/256GB) AIR BLACK:REALME:MOBILE"/>
    <n v="1"/>
    <n v="33999"/>
    <n v="0"/>
    <n v="0"/>
    <n v="31010"/>
    <s v="860602080217377"/>
    <n v="2989"/>
  </r>
  <r>
    <x v="12"/>
    <x v="2"/>
    <x v="4"/>
    <s v="MT/SRB/297"/>
    <s v="11/04/2026"/>
    <s v="16 PRO 5G (8/256GB) PEBBLE GREY:REALME:MOBILE"/>
    <n v="1"/>
    <n v="35300"/>
    <n v="0"/>
    <n v="0"/>
    <n v="34658"/>
    <s v="869883083843150"/>
    <n v="642"/>
  </r>
  <r>
    <x v="12"/>
    <x v="2"/>
    <x v="9"/>
    <s v="MT/SRB/99"/>
    <s v="04/04/2026"/>
    <s v="A066BD(A06 5G-4/64GB) BLACK:SAMSUNG:MOBILE"/>
    <n v="1"/>
    <n v="12499"/>
    <n v="0"/>
    <n v="0"/>
    <n v="11281"/>
    <s v="356668584924520"/>
    <n v="1218"/>
  </r>
  <r>
    <x v="12"/>
    <x v="2"/>
    <x v="5"/>
    <s v="MT/SRB/8"/>
    <s v="01/04/2026"/>
    <s v="POVA SLIM 5G (KM9-8/128GB) SKY BLUE:TECNO:MOBILE"/>
    <n v="1"/>
    <n v="20000"/>
    <n v="0"/>
    <n v="0"/>
    <n v="18601"/>
    <s v="350984210800661"/>
    <n v="1399"/>
  </r>
  <r>
    <x v="13"/>
    <x v="2"/>
    <x v="13"/>
    <s v="MT/SRB/111"/>
    <s v="05/04/2026"/>
    <s v="IT ACE 3 CITY BLUE:ITEL:MOBILE"/>
    <n v="1"/>
    <n v="1249"/>
    <n v="0"/>
    <n v="0"/>
    <n v="799"/>
    <s v="352672424950889"/>
    <n v="450"/>
  </r>
  <r>
    <x v="13"/>
    <x v="2"/>
    <x v="3"/>
    <s v="MT/SRB/55"/>
    <s v="02/04/2026"/>
    <s v="MOTO G67 POWER (8/128GB) CILANTRO:MOTOROLA:MOBILE"/>
    <n v="1"/>
    <n v="16700"/>
    <n v="0"/>
    <n v="0"/>
    <n v="16511"/>
    <s v="356231213515852"/>
    <n v="189"/>
  </r>
  <r>
    <x v="13"/>
    <x v="2"/>
    <x v="12"/>
    <s v="MT/SRB/243"/>
    <s v="09/04/2026"/>
    <s v="PHONE 4A PRO (12/256GB) BLACK:NOTHING:MOBILE"/>
    <n v="1"/>
    <n v="44500"/>
    <n v="0"/>
    <n v="0"/>
    <n v="43790"/>
    <s v="357998630126930"/>
    <n v="710"/>
  </r>
  <r>
    <x v="13"/>
    <x v="2"/>
    <x v="2"/>
    <s v="MT/SRB/254"/>
    <s v="09/04/2026"/>
    <s v="13S 5G(12/512GB) BLACK VELVET:ONE PLUS:MOBILE"/>
    <n v="1"/>
    <n v="58000"/>
    <n v="0"/>
    <n v="0"/>
    <n v="56905"/>
    <s v="860677074065891"/>
    <n v="1095"/>
  </r>
  <r>
    <x v="13"/>
    <x v="2"/>
    <x v="9"/>
    <s v="MT/SRB/67"/>
    <s v="03/04/2026"/>
    <s v="E176BB(F17 5G-6/128GB) NEO BLACK:SAMSUNG:MOBILE"/>
    <n v="1"/>
    <n v="18300"/>
    <n v="0"/>
    <n v="0"/>
    <n v="17834"/>
    <s v="352822575205365"/>
    <n v="466"/>
  </r>
  <r>
    <x v="13"/>
    <x v="2"/>
    <x v="5"/>
    <s v="MT/SRB/194"/>
    <s v="07/04/2026"/>
    <s v="POVA CURVE 2 5G (LK7K-8/128GB) MELTING SILVER:TECNO:MOBILE"/>
    <n v="1"/>
    <n v="28500"/>
    <n v="0"/>
    <n v="0"/>
    <n v="26682"/>
    <s v="353243710647024"/>
    <n v="1818"/>
  </r>
  <r>
    <x v="13"/>
    <x v="2"/>
    <x v="6"/>
    <s v="MT/SRB/5"/>
    <s v="01/04/2026"/>
    <s v="V60E 5G (8/256GB) ELITE PURPLE:VIVO:MOBILE"/>
    <n v="1"/>
    <n v="32000"/>
    <n v="0"/>
    <n v="0"/>
    <n v="31431"/>
    <s v="865426087285590"/>
    <n v="569"/>
  </r>
  <r>
    <x v="13"/>
    <x v="2"/>
    <x v="6"/>
    <s v="MT/SRB/24"/>
    <s v="02/04/2026"/>
    <s v="Y19E (4/64GB) TITANIUM SILVER:VIVO:MOBILE"/>
    <n v="1"/>
    <n v="9700"/>
    <n v="0"/>
    <n v="0"/>
    <n v="9439"/>
    <s v="868237073211582"/>
    <n v="261"/>
  </r>
  <r>
    <x v="13"/>
    <x v="2"/>
    <x v="6"/>
    <s v="MT/SRB/35"/>
    <s v="02/04/2026"/>
    <s v="Y400 5G (8/256GB) OLIVE GREEN:VIVO:MOBILE"/>
    <n v="1"/>
    <n v="26200"/>
    <n v="0"/>
    <n v="0"/>
    <n v="25878"/>
    <s v="861570071272371"/>
    <n v="322"/>
  </r>
  <r>
    <x v="13"/>
    <x v="2"/>
    <x v="6"/>
    <s v="MT/SRB/89"/>
    <s v="03/04/2026"/>
    <s v="Y51 PRO 5G (8/256GB) FESTIVE RED:VIVO:MOBILE"/>
    <n v="1"/>
    <n v="26800"/>
    <n v="0"/>
    <n v="0"/>
    <n v="25878"/>
    <s v="864155087968472"/>
    <n v="922"/>
  </r>
  <r>
    <x v="13"/>
    <x v="2"/>
    <x v="6"/>
    <s v="MT/SRB/93"/>
    <s v="04/04/2026"/>
    <s v="Y400 PRO (8/128GB) NEMBULA PURPLE:VIVO:MOBILE"/>
    <n v="1"/>
    <n v="24100"/>
    <n v="0"/>
    <n v="0"/>
    <n v="23990"/>
    <s v="863397070270570"/>
    <n v="110"/>
  </r>
  <r>
    <x v="13"/>
    <x v="2"/>
    <x v="6"/>
    <s v="MT/SRB/122"/>
    <s v="05/04/2026"/>
    <s v="V60 5G (8/128GB) MIST GRAY:VIVO:MOBILE"/>
    <n v="1"/>
    <n v="36999"/>
    <n v="0"/>
    <n v="0"/>
    <n v="34936"/>
    <s v="860668089748159"/>
    <n v="2063"/>
  </r>
  <r>
    <x v="13"/>
    <x v="2"/>
    <x v="6"/>
    <s v="MT/SRB/149"/>
    <s v="06/04/2026"/>
    <s v="X300 5G (12/256GB) ELITE BLACK:VIVO:MOBILE"/>
    <n v="1"/>
    <n v="71000"/>
    <n v="0"/>
    <n v="0"/>
    <n v="69202"/>
    <s v="867203082232333"/>
    <n v="1798"/>
  </r>
  <r>
    <x v="13"/>
    <x v="2"/>
    <x v="6"/>
    <s v="MT/SRB/150"/>
    <s v="06/04/2026"/>
    <s v="Y400 5G (8/256GB) GLAM WHITE:VIVO:MOBILE"/>
    <n v="1"/>
    <n v="27500"/>
    <n v="0"/>
    <n v="0"/>
    <n v="25878"/>
    <s v="868666078412391"/>
    <n v="1622"/>
  </r>
  <r>
    <x v="13"/>
    <x v="2"/>
    <x v="6"/>
    <s v="MT/SRB/190"/>
    <s v="07/04/2026"/>
    <s v="Y19E (4/64GB) MAJESTIC GREEN:VIVO:MOBILE"/>
    <n v="1"/>
    <n v="9999"/>
    <n v="0"/>
    <n v="0"/>
    <n v="9439"/>
    <s v="868237071222029"/>
    <n v="560"/>
  </r>
  <r>
    <x v="13"/>
    <x v="2"/>
    <x v="6"/>
    <s v="MT/SRB/201"/>
    <s v="07/04/2026"/>
    <s v="Y21 5G (4/128GB) CHAMPANGE GOLD:VIVO:MOBILE"/>
    <n v="1"/>
    <n v="18500"/>
    <n v="0"/>
    <n v="0"/>
    <n v="17482"/>
    <s v="869636088360251"/>
    <n v="1018"/>
  </r>
  <r>
    <x v="13"/>
    <x v="2"/>
    <x v="6"/>
    <s v="MT/SRB/216"/>
    <s v="08/04/2026"/>
    <s v="V70 FE 5G (8/128GB) NORTHERN LIGHTS PURPLE:VIVO:MOBILE"/>
    <n v="1"/>
    <n v="36000"/>
    <n v="0"/>
    <n v="0"/>
    <n v="35123"/>
    <s v="861130087405414"/>
    <n v="877"/>
  </r>
  <r>
    <x v="13"/>
    <x v="2"/>
    <x v="6"/>
    <s v="MT/SRB/269"/>
    <s v="10/04/2026"/>
    <s v="Y31 5G (6/128GB) ROSE RED:VIVO:MOBILE"/>
    <n v="1"/>
    <n v="19500"/>
    <n v="0"/>
    <n v="0"/>
    <n v="19370"/>
    <s v="866592087449855"/>
    <n v="130"/>
  </r>
  <r>
    <x v="13"/>
    <x v="2"/>
    <x v="6"/>
    <s v="MT/SRB/275"/>
    <s v="10/04/2026"/>
    <s v="V70 5G (8/256GB) PASSION RED:VIVO:MOBILE"/>
    <n v="1"/>
    <n v="45999"/>
    <n v="0"/>
    <n v="0"/>
    <n v="42253"/>
    <s v="861636080802597"/>
    <n v="3746"/>
  </r>
  <r>
    <x v="13"/>
    <x v="2"/>
    <x v="7"/>
    <s v="MT/SRB/170"/>
    <s v="06/04/2026"/>
    <s v="REDMI 15A 5G (4/128GB) ACE BLACK:XIAOMI:MOBILE"/>
    <n v="1"/>
    <n v="13700"/>
    <n v="0"/>
    <n v="0"/>
    <n v="13539"/>
    <s v="866938083097349"/>
    <n v="161"/>
  </r>
  <r>
    <x v="14"/>
    <x v="2"/>
    <x v="3"/>
    <s v="MT/SRB/264"/>
    <s v="10/04/2026"/>
    <s v="MOTO G96 (8/128GB) GREENER PASTURES:MOTOROLA:MOBILE"/>
    <n v="1"/>
    <n v="18999"/>
    <n v="0"/>
    <n v="0"/>
    <n v="18454"/>
    <s v="355024343669512"/>
    <n v="545"/>
  </r>
  <r>
    <x v="14"/>
    <x v="2"/>
    <x v="11"/>
    <s v="MT/SRB/141"/>
    <s v="06/04/2026"/>
    <s v="K14X 5G (4/128GB) PRISM VIOLET:OPPO:MOBILE"/>
    <n v="1"/>
    <n v="17000"/>
    <n v="0"/>
    <n v="0"/>
    <n v="16391"/>
    <s v="862790085110818"/>
    <n v="609"/>
  </r>
  <r>
    <x v="14"/>
    <x v="2"/>
    <x v="9"/>
    <s v="MT/SRB/16"/>
    <s v="01/04/2026"/>
    <s v="M566BA(M56 5G-8/128GB) BLACK:SAMSUNG:MOBILE"/>
    <n v="1"/>
    <n v="24000"/>
    <n v="0"/>
    <n v="0"/>
    <n v="23404"/>
    <s v="352572130556386"/>
    <n v="596"/>
  </r>
  <r>
    <x v="14"/>
    <x v="2"/>
    <x v="9"/>
    <s v="MT/SRB/27"/>
    <s v="02/04/2026"/>
    <s v="S948BB(S26 ULTRA-12/256GB) BLACK:SAMSUNG:MOBILE"/>
    <n v="1"/>
    <n v="134500"/>
    <n v="0"/>
    <n v="0"/>
    <n v="132212.43"/>
    <s v="358780490606113"/>
    <n v="2287.5700000000002"/>
  </r>
  <r>
    <x v="14"/>
    <x v="2"/>
    <x v="9"/>
    <s v="MT/SRB/39"/>
    <s v="02/04/2026"/>
    <s v="A176BN(A17 5G-8/256GB) BLACK:SAMSUNG:MOBILE"/>
    <n v="1"/>
    <n v="22300"/>
    <n v="0"/>
    <n v="0"/>
    <n v="21968"/>
    <s v="350037990082859"/>
    <n v="332"/>
  </r>
  <r>
    <x v="14"/>
    <x v="2"/>
    <x v="9"/>
    <s v="MT/SRB/52"/>
    <s v="02/04/2026"/>
    <s v="E176BA(F17 5G-4/128GB) NEO BLACK:SAMSUNG:MOBILE(T.VALUE)"/>
    <n v="1"/>
    <n v="16000"/>
    <n v="0"/>
    <n v="0"/>
    <n v="15000"/>
    <s v="350133665609835"/>
    <n v="1000"/>
  </r>
  <r>
    <x v="14"/>
    <x v="2"/>
    <x v="9"/>
    <s v="MT/SRB/58"/>
    <s v="03/04/2026"/>
    <s v="A076BB(A07 5G-4/128GB) LIGHT VIOLET:SAMSUNG:MOBILE"/>
    <n v="1"/>
    <n v="15000"/>
    <n v="0"/>
    <n v="0"/>
    <n v="14440"/>
    <s v="359695531145211"/>
    <n v="560"/>
  </r>
  <r>
    <x v="14"/>
    <x v="2"/>
    <x v="9"/>
    <s v="MT/SRB/77"/>
    <s v="03/04/2026"/>
    <s v="E176BB(F17 5G-6/128GB) VIOLET POP:SAMSUNG:MOBILE"/>
    <n v="1"/>
    <n v="17900"/>
    <n v="0"/>
    <n v="0"/>
    <n v="17834"/>
    <s v="352822575163762"/>
    <n v="66"/>
  </r>
  <r>
    <x v="14"/>
    <x v="2"/>
    <x v="9"/>
    <s v="MT/SRB/169"/>
    <s v="06/04/2026"/>
    <s v="A066BD(A06 5G-4/64GB) LIGHT GRAY:SAMSUNG:MOBILE"/>
    <n v="1"/>
    <n v="12000"/>
    <n v="0"/>
    <n v="0"/>
    <n v="11281"/>
    <s v="356668588251946"/>
    <n v="719"/>
  </r>
  <r>
    <x v="14"/>
    <x v="2"/>
    <x v="9"/>
    <s v="MT/SRB/187"/>
    <s v="07/04/2026"/>
    <s v="A176BN(A17 5G-8/256GB) BLACK:SAMSUNG:MOBILE"/>
    <n v="1"/>
    <n v="22400"/>
    <n v="0"/>
    <n v="0"/>
    <n v="21968"/>
    <s v="350037990082396"/>
    <n v="432"/>
  </r>
  <r>
    <x v="14"/>
    <x v="2"/>
    <x v="9"/>
    <s v="MT/SRB/204"/>
    <s v="07/04/2026"/>
    <s v="F966BD(FOLD 7-12/256GB) SLIVER SHADOW:SAMSUNG:MOBILE"/>
    <n v="1"/>
    <n v="160000"/>
    <n v="0"/>
    <n v="0"/>
    <n v="163057"/>
    <s v="353500151329671"/>
    <n v="-3057"/>
  </r>
  <r>
    <x v="14"/>
    <x v="2"/>
    <x v="9"/>
    <s v="MT/SRB/227"/>
    <s v="08/04/2026"/>
    <s v="E176BD(F17 5G-8/128GB) NEO BLACK:SAMSUNG:MOBILE"/>
    <n v="1"/>
    <n v="20100"/>
    <n v="0"/>
    <n v="0"/>
    <n v="19711"/>
    <s v="353726331546542"/>
    <n v="389"/>
  </r>
  <r>
    <x v="14"/>
    <x v="2"/>
    <x v="9"/>
    <s v="MT/SRB/247"/>
    <s v="09/04/2026"/>
    <s v="A176BN(A17 5G-8/256GB) BLUE:SAMSUNG:MOBILE"/>
    <n v="1"/>
    <n v="23000"/>
    <n v="0"/>
    <n v="0"/>
    <n v="21968"/>
    <s v="350037990376111"/>
    <n v="1032"/>
  </r>
  <r>
    <x v="14"/>
    <x v="2"/>
    <x v="9"/>
    <s v="MT/SRB/271"/>
    <s v="10/04/2026"/>
    <s v="A066BD(A06 5G-4/64GB) LIGHT GRAY:SAMSUNG:MOBILE"/>
    <n v="1"/>
    <n v="11500"/>
    <n v="0"/>
    <n v="0"/>
    <n v="12184"/>
    <s v="356668588249148"/>
    <n v="-684"/>
  </r>
  <r>
    <x v="14"/>
    <x v="2"/>
    <x v="9"/>
    <s v="MT/SRB/272"/>
    <s v="10/04/2026"/>
    <s v="A066BD(A06 5G-4/64GB) LIGHT GRAY:SAMSUNG:MOBILE"/>
    <n v="1"/>
    <n v="11500"/>
    <n v="0"/>
    <n v="0"/>
    <n v="12184"/>
    <s v="356668588248512"/>
    <n v="-684"/>
  </r>
  <r>
    <x v="14"/>
    <x v="2"/>
    <x v="9"/>
    <s v="MT/SRB/298"/>
    <s v="11/04/2026"/>
    <s v="A266BK(A26 5G-8/128GB) BLACK:SAMSUNG:MOBILE"/>
    <n v="1"/>
    <n v="22500"/>
    <n v="0"/>
    <n v="0"/>
    <n v="22782"/>
    <s v="353201664041909"/>
    <n v="-282"/>
  </r>
  <r>
    <x v="14"/>
    <x v="2"/>
    <x v="5"/>
    <s v="MT/SRB/261"/>
    <s v="10/04/2026"/>
    <s v="POVA SLIM 5G (KM9-8/128GB) SKY BLUE:TECNO:MOBILE"/>
    <n v="1"/>
    <n v="20500"/>
    <n v="0"/>
    <n v="0"/>
    <n v="18601"/>
    <s v="350984210956844"/>
    <n v="1899"/>
  </r>
  <r>
    <x v="15"/>
    <x v="1"/>
    <x v="8"/>
    <s v="MT/ACB/94"/>
    <s v="02/04/2026"/>
    <s v="IPHONE 17 PRO MAX(256GB) DEEP BLUE:APPLE:MOBILE"/>
    <n v="1"/>
    <n v="149900"/>
    <n v="0"/>
    <n v="0"/>
    <n v="145373"/>
    <s v="356973395613100"/>
    <n v="4527"/>
  </r>
  <r>
    <x v="15"/>
    <x v="1"/>
    <x v="8"/>
    <s v="MT/ACB/671"/>
    <s v="10/04/2026"/>
    <s v="IPHONE 16(128GB) WHITE:APPLE:MOBILE"/>
    <n v="1"/>
    <n v="69000"/>
    <n v="0"/>
    <n v="0"/>
    <n v="67789"/>
    <s v="356342310750969"/>
    <n v="1211"/>
  </r>
  <r>
    <x v="15"/>
    <x v="1"/>
    <x v="3"/>
    <s v="MT/ACB/587"/>
    <s v="09/04/2026"/>
    <s v="MOTO G67 POWER (8/128GB) BLUE:MOTOROLA:MOBILE"/>
    <n v="1"/>
    <n v="16500"/>
    <n v="0"/>
    <n v="0"/>
    <n v="16511"/>
    <s v="356944975360990"/>
    <n v="-11"/>
  </r>
  <r>
    <x v="15"/>
    <x v="1"/>
    <x v="2"/>
    <s v="MT/ACB/699"/>
    <s v="11/04/2026"/>
    <s v="ONE PLUS 15R (12/256GB) CHARCOAL BLACK:ONE PLUS:MOBILE"/>
    <n v="1"/>
    <n v="49500"/>
    <n v="0"/>
    <n v="0"/>
    <n v="48915"/>
    <s v="862329083751438"/>
    <n v="585"/>
  </r>
  <r>
    <x v="15"/>
    <x v="1"/>
    <x v="11"/>
    <s v="MT/ACB/63"/>
    <s v="01/04/2026"/>
    <s v="F31 PRO+ 5G (8/256GB) GEMSTONE BLUE:OPPO:MOBILE"/>
    <n v="1"/>
    <n v="30500"/>
    <n v="0"/>
    <n v="0"/>
    <n v="30801"/>
    <s v="866418086200737"/>
    <n v="-301"/>
  </r>
  <r>
    <x v="15"/>
    <x v="1"/>
    <x v="11"/>
    <s v="MT/ACB/108"/>
    <s v="02/04/2026"/>
    <s v="F31 5G (8/128GB) CLOUD GREEN:OPPO:MOBILE"/>
    <n v="1"/>
    <n v="24849"/>
    <n v="0"/>
    <n v="0"/>
    <n v="25201"/>
    <s v="862080084971315"/>
    <n v="-352"/>
  </r>
  <r>
    <x v="15"/>
    <x v="1"/>
    <x v="11"/>
    <s v="MT/ACB/111"/>
    <s v="02/04/2026"/>
    <s v="A5 5G (8/128GB) MIST WHITE:OPPO:MOBILE"/>
    <n v="1"/>
    <n v="16500"/>
    <n v="0"/>
    <n v="0"/>
    <n v="17023"/>
    <s v="868535075923470"/>
    <n v="-523"/>
  </r>
  <r>
    <x v="15"/>
    <x v="1"/>
    <x v="11"/>
    <s v="MT/ACB/114"/>
    <s v="02/04/2026"/>
    <s v="RENO 15 5G (8/256GB) AURORA BLUE:OPPO:MOBILE"/>
    <n v="1"/>
    <n v="42923"/>
    <n v="0"/>
    <n v="0"/>
    <n v="42081"/>
    <s v="865806085804072"/>
    <n v="842"/>
  </r>
  <r>
    <x v="15"/>
    <x v="1"/>
    <x v="11"/>
    <s v="MT/ACB/420"/>
    <s v="07/04/2026"/>
    <s v="RENO 15C 5G (8/256GB) TWILIGHT BLUE:OPPO:MOBILE"/>
    <n v="1"/>
    <n v="35349"/>
    <n v="0"/>
    <n v="0"/>
    <n v="34683"/>
    <s v="864052086242514"/>
    <n v="666"/>
  </r>
  <r>
    <x v="15"/>
    <x v="1"/>
    <x v="11"/>
    <s v="MT/ACB/589"/>
    <s v="09/04/2026"/>
    <s v="A6X 5G (4/64GB) ICE BLUE:OPPO:MOBILE"/>
    <n v="1"/>
    <n v="16300"/>
    <n v="0"/>
    <n v="0"/>
    <n v="16130"/>
    <s v="869556083437997"/>
    <n v="170"/>
  </r>
  <r>
    <x v="15"/>
    <x v="1"/>
    <x v="11"/>
    <s v="MT/ACB/620"/>
    <s v="10/04/2026"/>
    <s v="A5 PRO 5G (8/128GB) FEATHER BLUE:OPPO:MOBILE"/>
    <n v="1"/>
    <n v="18000"/>
    <n v="0"/>
    <n v="0"/>
    <n v="17969"/>
    <s v="863651072376433"/>
    <n v="31"/>
  </r>
  <r>
    <x v="15"/>
    <x v="1"/>
    <x v="11"/>
    <s v="MT/ACB/621"/>
    <s v="10/04/2026"/>
    <s v="A5 PRO 5G (8/128GB) FEATHER BLUE:OPPO:MOBILE"/>
    <n v="1"/>
    <n v="18000"/>
    <n v="0"/>
    <n v="0"/>
    <n v="17969"/>
    <s v="863651070509431"/>
    <n v="31"/>
  </r>
  <r>
    <x v="15"/>
    <x v="1"/>
    <x v="4"/>
    <s v="MT/ACB/234"/>
    <s v="04/04/2026"/>
    <s v="C71 (4/64GB) SEA BLUE:REALME:MOBILE"/>
    <n v="1"/>
    <n v="10500"/>
    <n v="0"/>
    <n v="0"/>
    <n v="10303"/>
    <s v="861950081553038"/>
    <n v="197"/>
  </r>
  <r>
    <x v="15"/>
    <x v="1"/>
    <x v="4"/>
    <s v="MT/ACB/349"/>
    <s v="06/04/2026"/>
    <s v="16 5G (8/256GB) AIR WHITE:REALME:MOBILE"/>
    <n v="1"/>
    <n v="31500"/>
    <n v="0"/>
    <n v="0"/>
    <n v="31010"/>
    <s v="866389084191477"/>
    <n v="490"/>
  </r>
  <r>
    <x v="15"/>
    <x v="1"/>
    <x v="4"/>
    <s v="MT/ACB/390"/>
    <s v="06/04/2026"/>
    <s v="14 PRO+ (8/128GB) BIKANER PURPLE:REALME:MOBILE"/>
    <n v="1"/>
    <n v="28000"/>
    <n v="0"/>
    <n v="0"/>
    <n v="27362"/>
    <s v="866751076102178"/>
    <n v="638"/>
  </r>
  <r>
    <x v="15"/>
    <x v="1"/>
    <x v="4"/>
    <s v="MT/ACB/434"/>
    <s v="07/04/2026"/>
    <s v="C83 5G (4/128GB) BLOOMING PURPLE:REALME:MOBILE"/>
    <n v="1"/>
    <n v="15800"/>
    <n v="0"/>
    <n v="0"/>
    <n v="15455"/>
    <s v="866276084953990"/>
    <n v="345"/>
  </r>
  <r>
    <x v="15"/>
    <x v="1"/>
    <x v="4"/>
    <s v="MT/ACB/654"/>
    <s v="10/04/2026"/>
    <s v="C83 5G (4/64GB) SPROUTING GREEN:REALME:MOBILE"/>
    <n v="1"/>
    <n v="13500"/>
    <n v="0"/>
    <n v="0"/>
    <n v="13582"/>
    <s v="860543080997651"/>
    <n v="-82"/>
  </r>
  <r>
    <x v="15"/>
    <x v="1"/>
    <x v="9"/>
    <s v="MT/ACB/30"/>
    <s v="01/04/2026"/>
    <s v="A176NL(A17 5G-6/128GB) W/O TA BLACK:SAMSUNG:MOBILE(T.VALUE)"/>
    <n v="1"/>
    <n v="19000"/>
    <n v="0"/>
    <n v="0"/>
    <n v="17790.919999999998"/>
    <s v="355299983457077"/>
    <n v="1209.08"/>
  </r>
  <r>
    <x v="15"/>
    <x v="1"/>
    <x v="9"/>
    <s v="MT/ACB/84"/>
    <s v="02/04/2026"/>
    <s v="A176NL(A17 5G-6/128GB) W/O TA BLUE:SAMSUNG:MOBILE(T.VALUE)"/>
    <n v="1"/>
    <n v="17600"/>
    <n v="0"/>
    <n v="0"/>
    <n v="17528"/>
    <s v="355299981541187"/>
    <n v="72"/>
  </r>
  <r>
    <x v="15"/>
    <x v="1"/>
    <x v="9"/>
    <s v="MT/ACB/179"/>
    <s v="03/04/2026"/>
    <s v="A176BN(A17 5G-8/256GB) BLACK:SAMSUNG:MOBILE"/>
    <n v="1"/>
    <n v="22300"/>
    <n v="0"/>
    <n v="0"/>
    <n v="21968"/>
    <s v="350037990384602"/>
    <n v="332"/>
  </r>
  <r>
    <x v="15"/>
    <x v="1"/>
    <x v="9"/>
    <s v="MT/ACB/666"/>
    <s v="10/04/2026"/>
    <s v="S948BB(S26 ULTRA-12/256GB) BLACK:SAMSUNG:MOBILE"/>
    <n v="1"/>
    <n v="135000"/>
    <n v="0"/>
    <n v="0"/>
    <n v="132212.43"/>
    <s v="358780491181249"/>
    <n v="2787.57"/>
  </r>
  <r>
    <x v="16"/>
    <x v="1"/>
    <x v="8"/>
    <s v="MT/ACB/154"/>
    <s v="03/04/2026"/>
    <s v="IPHONE 17(256GB) SAGE:APPLE:MOBILE"/>
    <n v="1"/>
    <n v="82900"/>
    <n v="0"/>
    <n v="0"/>
    <n v="80397"/>
    <s v="357998423740749"/>
    <n v="2503"/>
  </r>
  <r>
    <x v="16"/>
    <x v="1"/>
    <x v="8"/>
    <s v="MT/ACB/716"/>
    <s v="11/04/2026"/>
    <s v="IPHONE 17(256GB) WHITE:APPLE:MOBILE"/>
    <n v="1"/>
    <n v="82900"/>
    <n v="0"/>
    <n v="0"/>
    <n v="80397"/>
    <s v="350222809520782"/>
    <n v="2503"/>
  </r>
  <r>
    <x v="16"/>
    <x v="1"/>
    <x v="0"/>
    <s v="MT/ACB/677"/>
    <s v="11/04/2026"/>
    <s v="SMART 10 (4/64GB) SLEEK BLACK:INFINIX:MOBILE"/>
    <n v="1"/>
    <n v="8200"/>
    <n v="0"/>
    <n v="0"/>
    <n v="8122"/>
    <s v="356821920402558"/>
    <n v="78"/>
  </r>
  <r>
    <x v="16"/>
    <x v="1"/>
    <x v="3"/>
    <s v="MT/ACB/206"/>
    <s v="03/04/2026"/>
    <s v="MOTO EDGE 70 FUSION (8/256GB) COUNTRY AIR:MOTOROLA:MOBILE"/>
    <n v="1"/>
    <n v="29300"/>
    <n v="0"/>
    <n v="0"/>
    <n v="28862"/>
    <s v="357279952196656"/>
    <n v="438"/>
  </r>
  <r>
    <x v="16"/>
    <x v="1"/>
    <x v="3"/>
    <s v="MT/ACB/281"/>
    <s v="05/04/2026"/>
    <s v="MOTO G35 (4/128GB) MIDNIGHT BLACK:MOTOROLA:MOBILE"/>
    <n v="1"/>
    <n v="12000"/>
    <n v="0"/>
    <n v="0"/>
    <n v="11654"/>
    <s v="358557214785955"/>
    <n v="346"/>
  </r>
  <r>
    <x v="16"/>
    <x v="1"/>
    <x v="3"/>
    <s v="MT/ACB/337"/>
    <s v="06/04/2026"/>
    <s v="MOTO EDGE 60 FUSION (12/256GB) SLIPSTREAM:MOTOROLA:MOBILE"/>
    <n v="1"/>
    <n v="24500"/>
    <n v="0"/>
    <n v="0"/>
    <n v="24051"/>
    <s v="351587387829691"/>
    <n v="449"/>
  </r>
  <r>
    <x v="16"/>
    <x v="1"/>
    <x v="3"/>
    <s v="MT/ACB/359"/>
    <s v="06/04/2026"/>
    <s v="MOTO G35 (4/128GB) MIDNIGHT BLACK:MOTOROLA:MOBILE"/>
    <n v="1"/>
    <n v="12000"/>
    <n v="0"/>
    <n v="0"/>
    <n v="11654"/>
    <s v="358557214565597"/>
    <n v="346"/>
  </r>
  <r>
    <x v="16"/>
    <x v="1"/>
    <x v="3"/>
    <s v="MT/ACB/436"/>
    <s v="07/04/2026"/>
    <s v="MOTO G35 (8/128GB) LEAF GREEN:MOTOROLA:MOBILE"/>
    <n v="1"/>
    <n v="14000"/>
    <n v="0"/>
    <n v="0"/>
    <n v="13597"/>
    <s v="358557219909972"/>
    <n v="403"/>
  </r>
  <r>
    <x v="16"/>
    <x v="1"/>
    <x v="12"/>
    <s v="MT/ACB/584"/>
    <s v="09/04/2026"/>
    <s v="PHONE 4A PRO (12/256GB) BLACK:NOTHING:MOBILE"/>
    <n v="1"/>
    <n v="44000"/>
    <n v="0"/>
    <n v="0"/>
    <n v="43790"/>
    <s v="357998630153751"/>
    <n v="210"/>
  </r>
  <r>
    <x v="16"/>
    <x v="1"/>
    <x v="12"/>
    <s v="MT/ACB/632"/>
    <s v="10/04/2026"/>
    <s v="PHONE 4A PRO (12/256GB) SILVER:NOTHING:MOBILE"/>
    <n v="1"/>
    <n v="44500"/>
    <n v="0"/>
    <n v="0"/>
    <n v="43790"/>
    <s v="357998630974776"/>
    <n v="710"/>
  </r>
  <r>
    <x v="16"/>
    <x v="1"/>
    <x v="2"/>
    <s v="MT/ACB/72"/>
    <s v="01/04/2026"/>
    <s v="NORD 5 (8/256GB) DRY ICE:ONE PLUS:MOBILE"/>
    <n v="1"/>
    <n v="33999"/>
    <n v="0"/>
    <n v="0"/>
    <n v="33129"/>
    <s v="863995079247190"/>
    <n v="870"/>
  </r>
  <r>
    <x v="16"/>
    <x v="1"/>
    <x v="2"/>
    <s v="MT/ACB/191"/>
    <s v="03/04/2026"/>
    <s v="NORD 5 (8/256GB) PHANTOM GREY:ONE PLUS:MOBILE"/>
    <n v="1"/>
    <n v="33500"/>
    <n v="0"/>
    <n v="0"/>
    <n v="33129"/>
    <s v="869066074615916"/>
    <n v="371"/>
  </r>
  <r>
    <x v="16"/>
    <x v="1"/>
    <x v="2"/>
    <s v="MT/ACB/242"/>
    <s v="04/04/2026"/>
    <s v="NORD 5 (8/256GB) PHANTOM GREY:ONE PLUS:MOBILE"/>
    <n v="1"/>
    <n v="33999"/>
    <n v="0"/>
    <n v="0"/>
    <n v="33129"/>
    <s v="869066074632531"/>
    <n v="870"/>
  </r>
  <r>
    <x v="16"/>
    <x v="1"/>
    <x v="2"/>
    <s v="MT/ACB/331"/>
    <s v="06/04/2026"/>
    <s v="NORD 5 (8/256GB) PHANTOM GREY:ONE PLUS:MOBILE"/>
    <n v="1"/>
    <n v="33400"/>
    <n v="0"/>
    <n v="0"/>
    <n v="33129"/>
    <s v="869066074632572"/>
    <n v="271"/>
  </r>
  <r>
    <x v="16"/>
    <x v="1"/>
    <x v="2"/>
    <s v="MT/ACB/442"/>
    <s v="07/04/2026"/>
    <s v="NORD 5 (12/256GB) PHANTOM GREY:ONE PLUS:MOBILE"/>
    <n v="1"/>
    <n v="36500"/>
    <n v="0"/>
    <n v="0"/>
    <n v="36052"/>
    <s v="869066073300536"/>
    <n v="448"/>
  </r>
  <r>
    <x v="16"/>
    <x v="1"/>
    <x v="2"/>
    <s v="MT/ACB/458"/>
    <s v="07/04/2026"/>
    <s v="NORD 5 (8/256GB) PHANTOM GREY:ONE PLUS:MOBILE"/>
    <n v="1"/>
    <n v="33500"/>
    <n v="0"/>
    <n v="0"/>
    <n v="33129"/>
    <s v="869066074616831"/>
    <n v="371"/>
  </r>
  <r>
    <x v="16"/>
    <x v="1"/>
    <x v="2"/>
    <s v="MT/ACB/467"/>
    <s v="08/04/2026"/>
    <s v="NORD 5 (8/256GB) PHANTOM GREY:ONE PLUS:MOBILE"/>
    <n v="1"/>
    <n v="33999"/>
    <n v="0"/>
    <n v="0"/>
    <n v="33129"/>
    <s v="869066074572596"/>
    <n v="870"/>
  </r>
  <r>
    <x v="16"/>
    <x v="1"/>
    <x v="2"/>
    <s v="MT/ACB/701"/>
    <s v="11/04/2026"/>
    <s v="13S 5G(12/256GB) PINK SATIN:ONE PLUS:MOBILE"/>
    <n v="1"/>
    <n v="53000"/>
    <n v="0"/>
    <n v="0"/>
    <n v="52026"/>
    <s v="860677074401831"/>
    <n v="974"/>
  </r>
  <r>
    <x v="16"/>
    <x v="1"/>
    <x v="11"/>
    <s v="MT/ACB/98"/>
    <s v="02/04/2026"/>
    <s v="A6X 5G (4/64GB) ICE BLUE:OPPO:MOBILE"/>
    <n v="1"/>
    <n v="14000"/>
    <n v="0"/>
    <n v="0"/>
    <n v="14232"/>
    <s v="864784086154451"/>
    <n v="-232"/>
  </r>
  <r>
    <x v="16"/>
    <x v="1"/>
    <x v="11"/>
    <s v="MT/ACB/257"/>
    <s v="04/04/2026"/>
    <s v="F31 5G (8/256GB) MIDNIGHT BLUE:OPPO:MOBILE"/>
    <n v="1"/>
    <n v="26949"/>
    <n v="0"/>
    <n v="0"/>
    <n v="27068"/>
    <s v="862080084403350"/>
    <n v="-119"/>
  </r>
  <r>
    <x v="16"/>
    <x v="1"/>
    <x v="11"/>
    <s v="MT/ACB/687"/>
    <s v="11/04/2026"/>
    <s v="A6 5G (6/128GB) SAPPHIRE BLUE:OPPO:MOBILE"/>
    <n v="1"/>
    <n v="23000"/>
    <n v="0"/>
    <n v="0"/>
    <n v="22202"/>
    <s v="862869082416871"/>
    <n v="798"/>
  </r>
  <r>
    <x v="16"/>
    <x v="1"/>
    <x v="9"/>
    <s v="MT/ACB/47"/>
    <s v="01/04/2026"/>
    <s v="E176BB(F17 5G-6/128GB) VIOLET POP:SAMSUNG:MOBILE"/>
    <n v="1"/>
    <n v="18000"/>
    <n v="0"/>
    <n v="0"/>
    <n v="17834"/>
    <s v="352822575645891"/>
    <n v="166"/>
  </r>
  <r>
    <x v="16"/>
    <x v="1"/>
    <x v="9"/>
    <s v="MT/ACB/89"/>
    <s v="02/04/2026"/>
    <s v="A076BB(A07 5G-4/128GB) LIGHT GREEN:SAMSUNG:MOBILE"/>
    <n v="1"/>
    <n v="15700"/>
    <n v="0"/>
    <n v="0"/>
    <n v="14440"/>
    <s v="359695532607052"/>
    <n v="1260"/>
  </r>
  <r>
    <x v="16"/>
    <x v="1"/>
    <x v="9"/>
    <s v="MT/ACB/226"/>
    <s v="04/04/2026"/>
    <s v="E176BA(F17 5G-4/128GB) VIOLET POP:SAMSUNG:MOBILE"/>
    <n v="1"/>
    <n v="16300"/>
    <n v="0"/>
    <n v="0"/>
    <n v="15956"/>
    <s v="350133663928419"/>
    <n v="344"/>
  </r>
  <r>
    <x v="16"/>
    <x v="1"/>
    <x v="9"/>
    <s v="MT/ACB/256"/>
    <s v="04/04/2026"/>
    <s v="A176NL(A17 5G-6/128GB) W/O TA GRAY:SAMSUNG:MOBILE(T.VALUE)"/>
    <n v="1"/>
    <n v="18800"/>
    <n v="0"/>
    <n v="0"/>
    <n v="17528"/>
    <s v="355299983239327"/>
    <n v="1272"/>
  </r>
  <r>
    <x v="16"/>
    <x v="1"/>
    <x v="9"/>
    <s v="MT/ACB/625"/>
    <s v="10/04/2026"/>
    <s v="A075FD(A07 4G-4/64GB) LIGHT VIOLET:SAMSUNG:MOBILE"/>
    <n v="1"/>
    <n v="10000"/>
    <n v="0"/>
    <n v="0"/>
    <n v="10324"/>
    <s v="354372910501266"/>
    <n v="-324"/>
  </r>
  <r>
    <x v="16"/>
    <x v="1"/>
    <x v="6"/>
    <s v="MT/ACB/41"/>
    <s v="01/04/2026"/>
    <s v="Y21 5G (4/128GB) MIDNIGHT BLUE:VIVO:MOBILE"/>
    <n v="1"/>
    <n v="17500"/>
    <n v="0"/>
    <n v="0"/>
    <n v="17482"/>
    <s v="869636086066637"/>
    <n v="18"/>
  </r>
  <r>
    <x v="16"/>
    <x v="1"/>
    <x v="6"/>
    <s v="MT/ACB/295"/>
    <s v="05/04/2026"/>
    <s v="Y11 5G (4/128GB) MIDNIGHT BLUE:VIVO:MOBILE"/>
    <n v="1"/>
    <n v="16000"/>
    <n v="0"/>
    <n v="0"/>
    <n v="15847"/>
    <s v="864001085095514"/>
    <n v="153"/>
  </r>
  <r>
    <x v="16"/>
    <x v="1"/>
    <x v="6"/>
    <s v="MT/ACB/345"/>
    <s v="06/04/2026"/>
    <s v="Y11 5G (4/128GB) MIDNIGHT BLUE:VIVO:MOBILE"/>
    <n v="1"/>
    <n v="16300"/>
    <n v="0"/>
    <n v="0"/>
    <n v="15847"/>
    <s v="864001085624859"/>
    <n v="453"/>
  </r>
  <r>
    <x v="16"/>
    <x v="1"/>
    <x v="6"/>
    <s v="MT/ACB/347"/>
    <s v="06/04/2026"/>
    <s v="Y11 5G (4/128GB) MIDNIGHT BLUE:VIVO:MOBILE"/>
    <n v="1"/>
    <n v="16500"/>
    <n v="0"/>
    <n v="0"/>
    <n v="15847"/>
    <s v="864001085096215"/>
    <n v="653"/>
  </r>
  <r>
    <x v="16"/>
    <x v="1"/>
    <x v="6"/>
    <s v="MT/ACB/461"/>
    <s v="08/04/2026"/>
    <s v="Y11 5G (4/128GB) SUNRISE GOLD:VIVO:MOBILE"/>
    <n v="1"/>
    <n v="16000"/>
    <n v="0"/>
    <n v="0"/>
    <n v="15847"/>
    <s v="864001086032698"/>
    <n v="153"/>
  </r>
  <r>
    <x v="16"/>
    <x v="1"/>
    <x v="7"/>
    <s v="MT/ACB/407"/>
    <s v="07/04/2026"/>
    <s v="REDMI NOTE 15 5G (8/128GB) BLACK:XIAOMI:MOBILE"/>
    <n v="1"/>
    <n v="22750"/>
    <n v="0"/>
    <n v="0"/>
    <n v="23090"/>
    <s v="868495077623422"/>
    <n v="-340"/>
  </r>
  <r>
    <x v="17"/>
    <x v="1"/>
    <x v="3"/>
    <s v="MT/ACB/97"/>
    <s v="02/04/2026"/>
    <s v="MOTO G57 (8/128GB) PANTONE REGATTA:MOTOROLA:MOBILE"/>
    <n v="1"/>
    <n v="14500"/>
    <n v="0"/>
    <n v="0"/>
    <n v="14568"/>
    <s v="359006539714695"/>
    <n v="-68"/>
  </r>
  <r>
    <x v="17"/>
    <x v="1"/>
    <x v="3"/>
    <s v="MT/ACB/205"/>
    <s v="03/04/2026"/>
    <s v="MOTO G67 POWER (8/128GB) PARACHUTE:MOTOROLA:MOBILE"/>
    <n v="1"/>
    <n v="17000"/>
    <n v="0"/>
    <n v="0"/>
    <n v="16511"/>
    <s v="356944974358532"/>
    <n v="489"/>
  </r>
  <r>
    <x v="17"/>
    <x v="1"/>
    <x v="3"/>
    <s v="MT/ACB/227"/>
    <s v="04/04/2026"/>
    <s v="MOTO G35 (8/128GB) LEAF GREEN:MOTOROLA:MOBILE"/>
    <n v="1"/>
    <n v="12999"/>
    <n v="0"/>
    <n v="0"/>
    <n v="12626"/>
    <s v="358557219909899"/>
    <n v="373"/>
  </r>
  <r>
    <x v="17"/>
    <x v="1"/>
    <x v="3"/>
    <s v="MT/ACB/232"/>
    <s v="04/04/2026"/>
    <s v="MOTO EDGE 70 FUSION (8/256GB) COUNTRY AIR:MOTOROLA:MOBILE"/>
    <n v="1"/>
    <n v="29999"/>
    <n v="0"/>
    <n v="0"/>
    <n v="28862"/>
    <s v="357279952199577"/>
    <n v="1137"/>
  </r>
  <r>
    <x v="17"/>
    <x v="1"/>
    <x v="3"/>
    <s v="MT/ACB/239"/>
    <s v="04/04/2026"/>
    <s v="MOTO G57 (8/128GB) PANTONE FLUIDITY:MOTOROLA:MOBILE"/>
    <n v="1"/>
    <n v="15000"/>
    <n v="0"/>
    <n v="0"/>
    <n v="14568"/>
    <s v="357355572909775"/>
    <n v="432"/>
  </r>
  <r>
    <x v="17"/>
    <x v="1"/>
    <x v="3"/>
    <s v="MT/ACB/300"/>
    <s v="05/04/2026"/>
    <s v="MOTO G57 (8/128GB) PANTONE FLUIDITY:MOTOROLA:MOBILE"/>
    <n v="1"/>
    <n v="15000"/>
    <n v="0"/>
    <n v="0"/>
    <n v="14568"/>
    <s v="357355572909650"/>
    <n v="432"/>
  </r>
  <r>
    <x v="17"/>
    <x v="1"/>
    <x v="3"/>
    <s v="MT/ACB/300"/>
    <s v="05/04/2026"/>
    <s v="MOTO G57 (8/128GB) PANTONE FLUIDITY:MOTOROLA:MOBILE"/>
    <n v="1"/>
    <n v="15000"/>
    <n v="0"/>
    <n v="0"/>
    <n v="14568"/>
    <s v="357355572918537"/>
    <n v="432"/>
  </r>
  <r>
    <x v="17"/>
    <x v="1"/>
    <x v="3"/>
    <s v="MT/ACB/595"/>
    <s v="09/04/2026"/>
    <s v="MOTO EDGE 70 (8/256GB) BRONZE GREEN:MOTOROLA:MOBILE"/>
    <n v="1"/>
    <n v="29300"/>
    <n v="0"/>
    <n v="0"/>
    <n v="28862"/>
    <s v="355062882112759"/>
    <n v="438"/>
  </r>
  <r>
    <x v="17"/>
    <x v="1"/>
    <x v="4"/>
    <s v="MT/ACB/594"/>
    <s v="09/04/2026"/>
    <s v="P4X 5G (8/256GB) SILVER:REALME:MOBILE"/>
    <n v="1"/>
    <n v="20500"/>
    <n v="0"/>
    <n v="0"/>
    <n v="20361"/>
    <s v="861595085296215"/>
    <n v="139"/>
  </r>
  <r>
    <x v="17"/>
    <x v="1"/>
    <x v="9"/>
    <s v="MT/ACB/56"/>
    <s v="01/04/2026"/>
    <s v="A075FD(A07 4G-4/64GB) GREEN:SAMSUNG:MOBILE"/>
    <n v="1"/>
    <n v="8800"/>
    <n v="0"/>
    <n v="0"/>
    <n v="8916"/>
    <s v="354372910216816"/>
    <n v="-116"/>
  </r>
  <r>
    <x v="17"/>
    <x v="1"/>
    <x v="9"/>
    <s v="MT/ACB/60"/>
    <s v="01/04/2026"/>
    <s v="E176BA(F17 5G-4/128GB) NEO BLACK:SAMSUNG:MOBILE(T.VALUE)"/>
    <n v="1"/>
    <n v="14800"/>
    <n v="0"/>
    <n v="0"/>
    <n v="15225"/>
    <s v="350133666998914"/>
    <n v="-425"/>
  </r>
  <r>
    <x v="17"/>
    <x v="1"/>
    <x v="9"/>
    <s v="MT/ACB/61"/>
    <s v="01/04/2026"/>
    <s v="E176BA(F17 5G-4/128GB) VIOLET POP:SAMSUNG:MOBILE(T.VALUE)"/>
    <n v="1"/>
    <n v="16000"/>
    <n v="0"/>
    <n v="0"/>
    <n v="15225"/>
    <s v="350133667054535"/>
    <n v="775"/>
  </r>
  <r>
    <x v="17"/>
    <x v="1"/>
    <x v="9"/>
    <s v="MT/ACB/112"/>
    <s v="02/04/2026"/>
    <s v="A076BC(A07 5G-6/128GB) BLACK:SAMSUNG:MOBILE"/>
    <n v="1"/>
    <n v="16500"/>
    <n v="0"/>
    <n v="0"/>
    <n v="16245"/>
    <s v="351699501346898"/>
    <n v="255"/>
  </r>
  <r>
    <x v="17"/>
    <x v="1"/>
    <x v="9"/>
    <s v="MT/ACB/79"/>
    <s v="02/04/2026"/>
    <s v="A376ED(A37 5G-8/128GB) CHARCOAL:SAMSUNG:MOBILE"/>
    <n v="1"/>
    <n v="38664"/>
    <n v="0"/>
    <n v="0"/>
    <n v="37518"/>
    <s v="351008510189523"/>
    <n v="1146"/>
  </r>
  <r>
    <x v="17"/>
    <x v="1"/>
    <x v="9"/>
    <s v="MT/ACB/81"/>
    <s v="02/04/2026"/>
    <s v="A076BB(A07 5G-4/128GB) LIGHT GREEN:SAMSUNG:MOBILE"/>
    <n v="1"/>
    <n v="15200"/>
    <n v="0"/>
    <n v="0"/>
    <n v="14440"/>
    <s v="359695532610270"/>
    <n v="760"/>
  </r>
  <r>
    <x v="17"/>
    <x v="1"/>
    <x v="9"/>
    <s v="MT/ACB/96"/>
    <s v="02/04/2026"/>
    <s v="A176BN(A17 5G-8/256GB) BLACK:SAMSUNG:MOBILE"/>
    <n v="1"/>
    <n v="23068"/>
    <n v="0"/>
    <n v="0"/>
    <n v="21968"/>
    <s v="350037990383323"/>
    <n v="1100"/>
  </r>
  <r>
    <x v="17"/>
    <x v="1"/>
    <x v="9"/>
    <s v="MT/ACB/157"/>
    <s v="03/04/2026"/>
    <s v="A176BN(A17 5G-8/256GB) BLUE:SAMSUNG:MOBILE"/>
    <n v="1"/>
    <n v="22500"/>
    <n v="0"/>
    <n v="0"/>
    <n v="21968"/>
    <s v="350037991459668"/>
    <n v="532"/>
  </r>
  <r>
    <x v="17"/>
    <x v="1"/>
    <x v="9"/>
    <s v="MT/ACB/165"/>
    <s v="03/04/2026"/>
    <s v="S948BB(S26 ULTRA-12/256GB) BLACK:SAMSUNG:MOBILE"/>
    <n v="1"/>
    <n v="132000"/>
    <n v="0"/>
    <n v="0"/>
    <n v="132212.43"/>
    <s v="358780490442246"/>
    <n v="-212.43"/>
  </r>
  <r>
    <x v="17"/>
    <x v="1"/>
    <x v="9"/>
    <s v="MT/ACB/287"/>
    <s v="05/04/2026"/>
    <s v="S948BC(S26 ULTRA-12/512GB) PINK GOLD:SAMSUNG:MOBILE(T.VALUE)"/>
    <n v="1"/>
    <n v="134000"/>
    <n v="0"/>
    <n v="0"/>
    <n v="132036"/>
    <s v="352425611585376"/>
    <n v="1964"/>
  </r>
  <r>
    <x v="17"/>
    <x v="1"/>
    <x v="9"/>
    <s v="MT/ACB/333"/>
    <s v="06/04/2026"/>
    <s v="A176BN(A17 5G-8/256GB) BLACK:SAMSUNG:MOBILE"/>
    <n v="1"/>
    <n v="22000"/>
    <n v="0"/>
    <n v="0"/>
    <n v="21968"/>
    <s v="350037990384479"/>
    <n v="32"/>
  </r>
  <r>
    <x v="17"/>
    <x v="1"/>
    <x v="9"/>
    <s v="MT/ACB/350"/>
    <s v="06/04/2026"/>
    <s v="A176BN(A17 5G-8/256GB) BLACK:SAMSUNG:MOBILE"/>
    <n v="1"/>
    <n v="21999"/>
    <n v="0"/>
    <n v="0"/>
    <n v="21968"/>
    <s v="350037990384453"/>
    <n v="31"/>
  </r>
  <r>
    <x v="17"/>
    <x v="1"/>
    <x v="9"/>
    <s v="MT/ACB/361"/>
    <s v="06/04/2026"/>
    <s v="E176BA(F17 5G-4/128GB) NEO BLACK:SAMSUNG:MOBILE(T.VALUE)"/>
    <n v="1"/>
    <n v="15400"/>
    <n v="0"/>
    <n v="0"/>
    <n v="15000"/>
    <s v="350133667034412"/>
    <n v="400"/>
  </r>
  <r>
    <x v="17"/>
    <x v="1"/>
    <x v="9"/>
    <s v="MT/ACB/372"/>
    <s v="06/04/2026"/>
    <s v="A176NL(A17 5G-6/128GB) W/O TA BLUE:SAMSUNG:MOBILE(T.VALUE)"/>
    <n v="1"/>
    <n v="17500"/>
    <n v="0"/>
    <n v="0"/>
    <n v="17528"/>
    <s v="355299982850421"/>
    <n v="-28"/>
  </r>
  <r>
    <x v="17"/>
    <x v="1"/>
    <x v="9"/>
    <s v="MT/ACB/432"/>
    <s v="07/04/2026"/>
    <s v="A176BN(A17 5G-8/256GB) BLACK:SAMSUNG:MOBILE"/>
    <n v="1"/>
    <n v="22000"/>
    <n v="0"/>
    <n v="0"/>
    <n v="21968"/>
    <s v="350037990384461"/>
    <n v="32"/>
  </r>
  <r>
    <x v="17"/>
    <x v="1"/>
    <x v="9"/>
    <s v="MT/ACB/443"/>
    <s v="07/04/2026"/>
    <s v="S948BC(S26 ULTRA-12/512GB) SILVER:SAMSUNG:MOBILE(T.VALUE)"/>
    <n v="1"/>
    <n v="150000"/>
    <n v="0"/>
    <n v="0"/>
    <n v="132036"/>
    <s v="352425611022917"/>
    <n v="17964"/>
  </r>
  <r>
    <x v="17"/>
    <x v="1"/>
    <x v="9"/>
    <s v="MT/ACB/452"/>
    <s v="07/04/2026"/>
    <s v="A376EG(A37 5G-8/256GB) CHARCOAL:SAMSUNG:MOBILE"/>
    <n v="1"/>
    <n v="43700"/>
    <n v="0"/>
    <n v="0"/>
    <n v="42564"/>
    <s v="353525200130663"/>
    <n v="1136"/>
  </r>
  <r>
    <x v="17"/>
    <x v="1"/>
    <x v="9"/>
    <s v="MT/ACB/459"/>
    <s v="07/04/2026"/>
    <s v="A576BF(A57 5G-8/256GB) ICY BLUE:SAMSUNG:MOBILE"/>
    <n v="1"/>
    <n v="50000"/>
    <n v="0"/>
    <n v="0"/>
    <n v="50544"/>
    <s v="351791520467712"/>
    <n v="-544"/>
  </r>
  <r>
    <x v="17"/>
    <x v="1"/>
    <x v="9"/>
    <s v="MT/ACB/519"/>
    <s v="08/04/2026"/>
    <s v="A076BB(A07 5G-4/128GB) LIGHT GREEN:SAMSUNG:MOBILE"/>
    <n v="1"/>
    <n v="14500"/>
    <n v="0"/>
    <n v="0"/>
    <n v="14440"/>
    <s v="359695532607151"/>
    <n v="60"/>
  </r>
  <r>
    <x v="17"/>
    <x v="1"/>
    <x v="9"/>
    <s v="MT/ACB/524"/>
    <s v="08/04/2026"/>
    <s v="A176BN(A17 5G-8/256GB) BLUE:SAMSUNG:MOBILE"/>
    <n v="1"/>
    <n v="22000"/>
    <n v="0"/>
    <n v="0"/>
    <n v="21968"/>
    <s v="350037991453190"/>
    <n v="32"/>
  </r>
  <r>
    <x v="17"/>
    <x v="1"/>
    <x v="9"/>
    <s v="MT/ACB/528"/>
    <s v="08/04/2026"/>
    <s v="A176BN(A17 5G-8/256GB) BLUE:SAMSUNG:MOBILE"/>
    <n v="1"/>
    <n v="22500"/>
    <n v="0"/>
    <n v="0"/>
    <n v="21968"/>
    <s v="350037991519545"/>
    <n v="532"/>
  </r>
  <r>
    <x v="17"/>
    <x v="1"/>
    <x v="9"/>
    <s v="MT/ACB/568"/>
    <s v="09/04/2026"/>
    <s v="A176NL(A17 5G-6/128GB) W/O TA BLACK:SAMSUNG:MOBILE(T.VALUE)"/>
    <n v="1"/>
    <n v="18999"/>
    <n v="0"/>
    <n v="0"/>
    <n v="17528"/>
    <s v="355299981317331"/>
    <n v="1471"/>
  </r>
  <r>
    <x v="17"/>
    <x v="1"/>
    <x v="9"/>
    <s v="MT/ACB/596"/>
    <s v="09/04/2026"/>
    <s v="A176NL(A17 5G-6/128GB) W/O TA BLUE:SAMSUNG:MOBILE"/>
    <n v="1"/>
    <n v="18300"/>
    <n v="0"/>
    <n v="0"/>
    <n v="18502"/>
    <s v="355299982616483"/>
    <n v="-202"/>
  </r>
  <r>
    <x v="17"/>
    <x v="1"/>
    <x v="9"/>
    <s v="MT/ACB/600"/>
    <s v="09/04/2026"/>
    <s v="A366EJ(A36 5G-8/128GB) AWESOME WHITE:SAMSUNG:MOBILE"/>
    <n v="1"/>
    <n v="29500"/>
    <n v="0"/>
    <n v="0"/>
    <n v="29332"/>
    <s v="357178227534735"/>
    <n v="168"/>
  </r>
  <r>
    <x v="17"/>
    <x v="1"/>
    <x v="9"/>
    <s v="MT/ACB/610"/>
    <s v="09/04/2026"/>
    <s v="A176NL(A17 5G-6/128GB) W/O TA GRAY:SAMSUNG:MOBILE(T.VALUE)"/>
    <n v="1"/>
    <n v="17500"/>
    <n v="0"/>
    <n v="0"/>
    <n v="17528"/>
    <s v="355299983239483"/>
    <n v="-28"/>
  </r>
  <r>
    <x v="17"/>
    <x v="1"/>
    <x v="9"/>
    <s v="MT/ACB/618"/>
    <s v="10/04/2026"/>
    <s v="F966BD(FOLD 7-12/256GB) SLIVER SHADOW:SAMSUNG:MOBILE"/>
    <n v="1"/>
    <n v="164000"/>
    <n v="0"/>
    <n v="0"/>
    <n v="165504"/>
    <s v="353500151327832"/>
    <n v="-1504"/>
  </r>
  <r>
    <x v="17"/>
    <x v="1"/>
    <x v="9"/>
    <s v="MT/ACB/640"/>
    <s v="10/04/2026"/>
    <s v="E176BA(F17 5G-4/128GB) VIOLET POP:SAMSUNG:MOBILE(T.VALUE)"/>
    <n v="1"/>
    <n v="16000"/>
    <n v="0"/>
    <n v="0"/>
    <n v="15000"/>
    <s v="350133667052703"/>
    <n v="1000"/>
  </r>
  <r>
    <x v="17"/>
    <x v="1"/>
    <x v="9"/>
    <s v="MT/ACB/690"/>
    <s v="11/04/2026"/>
    <s v="A176BN(A17 5G-8/256GB) BLUE:SAMSUNG:MOBILE"/>
    <n v="1"/>
    <n v="22000"/>
    <n v="0"/>
    <n v="0"/>
    <n v="21968"/>
    <s v="356276611528650"/>
    <n v="32"/>
  </r>
  <r>
    <x v="17"/>
    <x v="1"/>
    <x v="9"/>
    <s v="MT/ACB/705"/>
    <s v="11/04/2026"/>
    <s v="A176NL(A17 5G-6/128GB) W/O TA BLACK:SAMSUNG:MOBILE(T.VALUE)"/>
    <n v="1"/>
    <n v="19600"/>
    <n v="0"/>
    <n v="0"/>
    <n v="17528"/>
    <s v="355299983391854"/>
    <n v="2072"/>
  </r>
  <r>
    <x v="17"/>
    <x v="1"/>
    <x v="7"/>
    <s v="MT/ACB/482"/>
    <s v="08/04/2026"/>
    <s v="REDMI 15A 5G (4/128GB) AMAZE PURPLE:XIAOMI:MOBILE"/>
    <n v="1"/>
    <n v="13500"/>
    <n v="0"/>
    <n v="0"/>
    <n v="13539"/>
    <s v="866938081342283"/>
    <n v="-39"/>
  </r>
  <r>
    <x v="18"/>
    <x v="0"/>
    <x v="8"/>
    <s v="MT/GDRB/236"/>
    <s v="08/04/2026"/>
    <s v="IPHONE 17(256GB) BLACK:APPLE:MOBILE"/>
    <n v="1"/>
    <n v="82900"/>
    <n v="0"/>
    <n v="0"/>
    <n v="80397"/>
    <s v="354774862267178"/>
    <n v="2503"/>
  </r>
  <r>
    <x v="18"/>
    <x v="0"/>
    <x v="13"/>
    <s v="MT/GDRB/195"/>
    <s v="08/04/2026"/>
    <s v="IT5095 MUZIK 450 DEEP BLUE:ITEL:MOBILE"/>
    <n v="1"/>
    <n v="2000"/>
    <n v="0"/>
    <n v="0"/>
    <n v="1532"/>
    <s v="357157840352329"/>
    <n v="468"/>
  </r>
  <r>
    <x v="18"/>
    <x v="0"/>
    <x v="3"/>
    <s v="MT/GDRB/79"/>
    <s v="03/04/2026"/>
    <s v="MOTO G96 (8/128GB) DRESDEN BLUE:MOTOROLA:MOBILE"/>
    <n v="1"/>
    <n v="18500"/>
    <n v="0"/>
    <n v="0"/>
    <n v="18454"/>
    <s v="354080687114938"/>
    <n v="46"/>
  </r>
  <r>
    <x v="18"/>
    <x v="0"/>
    <x v="3"/>
    <s v="MT/GDRB/80"/>
    <s v="03/04/2026"/>
    <s v="MOTO G35 (4/128GB) GUAVA RED:MOTOROLA:MOBILE"/>
    <n v="1"/>
    <n v="12000"/>
    <n v="0"/>
    <n v="0"/>
    <n v="11654"/>
    <s v="358557217650917"/>
    <n v="346"/>
  </r>
  <r>
    <x v="18"/>
    <x v="0"/>
    <x v="1"/>
    <s v="MT/GDRB/30"/>
    <s v="01/04/2026"/>
    <s v="HMD-100(SINGLESIM-TA-1761) GREY:NOKIA:MOBILE"/>
    <n v="1"/>
    <n v="1100"/>
    <n v="0"/>
    <n v="0"/>
    <n v="815"/>
    <s v="351813215456584"/>
    <n v="285"/>
  </r>
  <r>
    <x v="18"/>
    <x v="0"/>
    <x v="1"/>
    <s v="MT/GDRB/95"/>
    <s v="04/04/2026"/>
    <s v="N130(M-DUALSIM) LIGHT-GOLD:NOKIA:MOBILE"/>
    <n v="1"/>
    <n v="1950"/>
    <n v="0"/>
    <n v="0"/>
    <n v="2034"/>
    <s v="350866496966508"/>
    <n v="-84"/>
  </r>
  <r>
    <x v="18"/>
    <x v="0"/>
    <x v="1"/>
    <s v="MT/GDRB/95"/>
    <s v="04/04/2026"/>
    <s v="N130(M-DUALSIM) LIGHT-GOLD:NOKIA:MOBILE"/>
    <n v="1"/>
    <n v="1950"/>
    <n v="0"/>
    <n v="0"/>
    <n v="2034"/>
    <s v="350866496967167"/>
    <n v="-84"/>
  </r>
  <r>
    <x v="18"/>
    <x v="0"/>
    <x v="1"/>
    <s v="MT/GDRB/95"/>
    <s v="04/04/2026"/>
    <s v="N130(M-DUALSIM) PURPLE:NOKIA:MOBILE"/>
    <n v="1"/>
    <n v="1950"/>
    <n v="0"/>
    <n v="0"/>
    <n v="2034"/>
    <s v="350196730067644"/>
    <n v="-84"/>
  </r>
  <r>
    <x v="18"/>
    <x v="0"/>
    <x v="1"/>
    <s v="MT/GDRB/121"/>
    <s v="05/04/2026"/>
    <s v="N105(SINGLESIM-TA-1423) CHARCOAL:NOKIA:MOBILE"/>
    <n v="1"/>
    <n v="1200"/>
    <n v="0"/>
    <n v="0"/>
    <n v="1157"/>
    <s v="355295347975580"/>
    <n v="43"/>
  </r>
  <r>
    <x v="18"/>
    <x v="0"/>
    <x v="11"/>
    <s v="MT/GDRB/317"/>
    <s v="10/04/2026"/>
    <s v="K14 5G (6/128GB) ICY BLUE:OPPO:MOBILE"/>
    <n v="1"/>
    <n v="19500"/>
    <n v="0"/>
    <n v="0"/>
    <n v="19284"/>
    <s v="860399083241336"/>
    <n v="216"/>
  </r>
  <r>
    <x v="18"/>
    <x v="0"/>
    <x v="10"/>
    <s v="MT/GDRB/69"/>
    <s v="03/04/2026"/>
    <s v="C85X (4/64GB) EMERALD GREEN:POCO:MOBILE"/>
    <n v="1"/>
    <n v="11000"/>
    <n v="0"/>
    <n v="0"/>
    <n v="10807"/>
    <s v="864960082309360"/>
    <n v="193"/>
  </r>
  <r>
    <x v="18"/>
    <x v="0"/>
    <x v="10"/>
    <s v="MT/GDRB/71"/>
    <s v="03/04/2026"/>
    <s v="C85X (4/64GB) EMERALD GREEN:POCO:MOBILE"/>
    <n v="1"/>
    <n v="10999"/>
    <n v="0"/>
    <n v="0"/>
    <n v="10807"/>
    <s v="864960082558248"/>
    <n v="192"/>
  </r>
  <r>
    <x v="18"/>
    <x v="0"/>
    <x v="10"/>
    <s v="MT/GDRB/155"/>
    <s v="06/04/2026"/>
    <s v="C85X (4/64GB) EMERALD GREEN:POCO:MOBILE"/>
    <n v="1"/>
    <n v="11000"/>
    <n v="0"/>
    <n v="0"/>
    <n v="10807"/>
    <s v="864960082354820"/>
    <n v="193"/>
  </r>
  <r>
    <x v="18"/>
    <x v="0"/>
    <x v="10"/>
    <s v="MT/GDRB/261"/>
    <s v="09/04/2026"/>
    <s v="C85X (4/64GB) EMERALD GREEN:POCO:MOBILE"/>
    <n v="1"/>
    <n v="10700"/>
    <n v="0"/>
    <n v="0"/>
    <n v="10807"/>
    <s v="864960082424128"/>
    <n v="-107"/>
  </r>
  <r>
    <x v="18"/>
    <x v="0"/>
    <x v="4"/>
    <s v="MT/GDRB/183"/>
    <s v="08/04/2026"/>
    <s v="15X 5G (6/128GB) MARINE BLUE:REALME:MOBILE"/>
    <n v="1"/>
    <n v="21923"/>
    <n v="0"/>
    <n v="0"/>
    <n v="20977"/>
    <s v="869232083211374"/>
    <n v="946"/>
  </r>
  <r>
    <x v="18"/>
    <x v="0"/>
    <x v="4"/>
    <s v="MT/GDRB/245"/>
    <s v="08/04/2026"/>
    <s v="C83 5G (4/64GB) SPROUTING GREEN:REALME:MOBILE"/>
    <n v="1"/>
    <n v="13500"/>
    <n v="0"/>
    <n v="0"/>
    <n v="13582"/>
    <s v="863074081062334"/>
    <n v="-82"/>
  </r>
  <r>
    <x v="18"/>
    <x v="0"/>
    <x v="4"/>
    <s v="MT/GDRB/275"/>
    <s v="09/04/2026"/>
    <s v="C83 5G (4/64GB) SPROUTING GREEN:REALME:MOBILE"/>
    <n v="1"/>
    <n v="13770"/>
    <n v="0"/>
    <n v="0"/>
    <n v="13582"/>
    <s v="863074081046139"/>
    <n v="188"/>
  </r>
  <r>
    <x v="18"/>
    <x v="0"/>
    <x v="4"/>
    <s v="MT/GDRB/290"/>
    <s v="10/04/2026"/>
    <s v="C85 5G (6/128GB) PARROT PURPLE:REALME:MOBILE"/>
    <n v="1"/>
    <n v="20500"/>
    <n v="0"/>
    <n v="0"/>
    <n v="20246"/>
    <s v="865420081321493"/>
    <n v="254"/>
  </r>
  <r>
    <x v="18"/>
    <x v="0"/>
    <x v="4"/>
    <s v="MT/GDRB/305"/>
    <s v="10/04/2026"/>
    <s v="16 5G (8/256GB) AIR WHITE:REALME:MOBILE"/>
    <n v="1"/>
    <n v="30000"/>
    <n v="0"/>
    <n v="0"/>
    <n v="31010"/>
    <s v="866389084214931"/>
    <n v="-1010"/>
  </r>
  <r>
    <x v="18"/>
    <x v="0"/>
    <x v="9"/>
    <s v="MT/GDRB/128"/>
    <s v="05/04/2026"/>
    <s v="A076BB(A07 5G-4/128GB) LIGHT GREEN:SAMSUNG:MOBILE"/>
    <n v="1"/>
    <n v="15000"/>
    <n v="0"/>
    <n v="0"/>
    <n v="14440"/>
    <s v="359695532607086"/>
    <n v="560"/>
  </r>
  <r>
    <x v="18"/>
    <x v="0"/>
    <x v="6"/>
    <s v="MT/GDRB/19"/>
    <s v="01/04/2026"/>
    <s v="Y11 5G (4/64GB) SUNRISE GOLD:VIVO:MOBILE"/>
    <n v="1"/>
    <n v="14800"/>
    <n v="0"/>
    <n v="0"/>
    <n v="14010"/>
    <s v="864001089498979"/>
    <n v="790"/>
  </r>
  <r>
    <x v="18"/>
    <x v="0"/>
    <x v="7"/>
    <s v="MT/GDRB/164"/>
    <s v="07/04/2026"/>
    <s v="REDMI NOTE 15 5G (8/128GB) BLACK:XIAOMI:MOBILE"/>
    <n v="1"/>
    <n v="23500"/>
    <n v="0"/>
    <n v="0"/>
    <n v="23090"/>
    <s v="868495074568729"/>
    <n v="410"/>
  </r>
  <r>
    <x v="18"/>
    <x v="0"/>
    <x v="7"/>
    <s v="MT/GDRB/342"/>
    <s v="11/04/2026"/>
    <s v="REDMI 15A 5G (4/128GB) ACE BLACK:XIAOMI:MOBILE"/>
    <n v="1"/>
    <n v="13600"/>
    <n v="0"/>
    <n v="0"/>
    <n v="13539"/>
    <s v="866938083043624"/>
    <n v="61"/>
  </r>
  <r>
    <x v="19"/>
    <x v="1"/>
    <x v="3"/>
    <s v="MT/ACB/106"/>
    <s v="02/04/2026"/>
    <s v="MOTO EDGE 70 FUSION (8/128GB) BLUE SURF:MOTOROLA:MOBILE"/>
    <n v="1"/>
    <n v="26999"/>
    <n v="0"/>
    <n v="0"/>
    <n v="25975"/>
    <s v="353324456620118"/>
    <n v="1024"/>
  </r>
  <r>
    <x v="19"/>
    <x v="1"/>
    <x v="3"/>
    <s v="MT/ACB/603"/>
    <s v="09/04/2026"/>
    <s v="MOTO G67 POWER (8/128GB) CILANTRO:MOTOROLA:MOBILE"/>
    <n v="1"/>
    <n v="16500"/>
    <n v="0"/>
    <n v="0"/>
    <n v="16511"/>
    <s v="356231213510994"/>
    <n v="-11"/>
  </r>
  <r>
    <x v="19"/>
    <x v="1"/>
    <x v="3"/>
    <s v="MT/ACB/661"/>
    <s v="10/04/2026"/>
    <s v="MOTO G67 POWER (8/128GB) CILANTRO:MOTOROLA:MOBILE"/>
    <n v="1"/>
    <n v="16999"/>
    <n v="0"/>
    <n v="0"/>
    <n v="16511"/>
    <s v="356231213524979"/>
    <n v="488"/>
  </r>
  <r>
    <x v="19"/>
    <x v="1"/>
    <x v="1"/>
    <s v="MT/ACB/694"/>
    <s v="11/04/2026"/>
    <s v="N105(SINGLESIM-TA-1423) CHARCOAL:NOKIA:MOBILE"/>
    <n v="1"/>
    <n v="1200"/>
    <n v="0"/>
    <n v="0"/>
    <n v="1157"/>
    <s v="355295347975747"/>
    <n v="43"/>
  </r>
  <r>
    <x v="19"/>
    <x v="1"/>
    <x v="2"/>
    <s v="MT/ACB/484"/>
    <s v="08/04/2026"/>
    <s v="NORD 5 (12/256GB) DRY ICE:ONE PLUS:MOBILE"/>
    <n v="1"/>
    <n v="36000"/>
    <n v="0"/>
    <n v="0"/>
    <n v="36052"/>
    <s v="863995074517712"/>
    <n v="-52"/>
  </r>
  <r>
    <x v="19"/>
    <x v="1"/>
    <x v="2"/>
    <s v="MT/ACB/504"/>
    <s v="08/04/2026"/>
    <s v="NORD 5 (8/256GB) PHANTOM GREY:ONE PLUS:MOBILE"/>
    <n v="1"/>
    <n v="33999"/>
    <n v="0"/>
    <n v="0"/>
    <n v="33129"/>
    <s v="869066074631293"/>
    <n v="870"/>
  </r>
  <r>
    <x v="19"/>
    <x v="1"/>
    <x v="4"/>
    <s v="MT/ACB/274"/>
    <s v="05/04/2026"/>
    <s v="16 5G (8/256GB) AIR WHITE:REALME:MOBILE"/>
    <n v="1"/>
    <n v="31500"/>
    <n v="0"/>
    <n v="0"/>
    <n v="31010"/>
    <s v="866389084223718"/>
    <n v="490"/>
  </r>
  <r>
    <x v="19"/>
    <x v="1"/>
    <x v="9"/>
    <s v="MT/ACB/619"/>
    <s v="10/04/2026"/>
    <s v="A376ED(A37 5G-8/128GB) LAVENDER:SAMSUNG:MOBILE"/>
    <n v="1"/>
    <n v="39498"/>
    <n v="0"/>
    <n v="0"/>
    <n v="37518"/>
    <s v="351008510488867"/>
    <n v="1980"/>
  </r>
  <r>
    <x v="19"/>
    <x v="1"/>
    <x v="6"/>
    <s v="MT/ACB/32"/>
    <s v="01/04/2026"/>
    <s v="V70 5G (8/256GB) PASSION RED:VIVO:MOBILE"/>
    <n v="1"/>
    <n v="43000"/>
    <n v="0"/>
    <n v="0"/>
    <n v="42253"/>
    <s v="861636081255431"/>
    <n v="747"/>
  </r>
  <r>
    <x v="19"/>
    <x v="1"/>
    <x v="6"/>
    <s v="MT/ACB/66"/>
    <s v="01/04/2026"/>
    <s v="Y11 5G (4/128GB) SUNRISE GOLD:VIVO:MOBILE"/>
    <n v="1"/>
    <n v="16000"/>
    <n v="0"/>
    <n v="0"/>
    <n v="15847"/>
    <s v="864001086628214"/>
    <n v="153"/>
  </r>
  <r>
    <x v="19"/>
    <x v="1"/>
    <x v="6"/>
    <s v="MT/ACB/74"/>
    <s v="01/04/2026"/>
    <s v="V70 5G (8/256GB) LEMON YELLOW:VIVO:MOBILE"/>
    <n v="1"/>
    <n v="42000"/>
    <n v="0"/>
    <n v="0"/>
    <n v="42253"/>
    <s v="861636081026196"/>
    <n v="-253"/>
  </r>
  <r>
    <x v="19"/>
    <x v="1"/>
    <x v="6"/>
    <s v="MT/ACB/141"/>
    <s v="03/04/2026"/>
    <s v="Y31 5G (6/128GB) ROSE RED:VIVO:MOBILE"/>
    <n v="1"/>
    <n v="19300"/>
    <n v="0"/>
    <n v="0"/>
    <n v="19370"/>
    <s v="866150080133388"/>
    <n v="-70"/>
  </r>
  <r>
    <x v="19"/>
    <x v="1"/>
    <x v="6"/>
    <s v="MT/ACB/189"/>
    <s v="03/04/2026"/>
    <s v="X200T (12/256GB) STELLAR BLACK:VIVO:MOBILE"/>
    <n v="1"/>
    <n v="59999"/>
    <n v="0"/>
    <n v="0"/>
    <n v="57854"/>
    <s v="862881088866470"/>
    <n v="2145"/>
  </r>
  <r>
    <x v="19"/>
    <x v="1"/>
    <x v="6"/>
    <s v="MT/ACB/244"/>
    <s v="04/04/2026"/>
    <s v="Y11 5G (4/64GB) SUNRISE GOLD:VIVO:MOBILE"/>
    <n v="1"/>
    <n v="14000"/>
    <n v="0"/>
    <n v="0"/>
    <n v="14010"/>
    <s v="864001089502317"/>
    <n v="-10"/>
  </r>
  <r>
    <x v="19"/>
    <x v="1"/>
    <x v="6"/>
    <s v="MT/ACB/249"/>
    <s v="04/04/2026"/>
    <s v="V70 5G (8/256GB) PASSION RED:VIVO:MOBILE"/>
    <n v="1"/>
    <n v="41999"/>
    <n v="0"/>
    <n v="0"/>
    <n v="42253"/>
    <s v="861636081255357"/>
    <n v="-254"/>
  </r>
  <r>
    <x v="19"/>
    <x v="1"/>
    <x v="6"/>
    <s v="MT/ACB/269"/>
    <s v="05/04/2026"/>
    <s v="Y11 5G (4/128GB) MIDNIGHT BLUE:VIVO:MOBILE"/>
    <n v="1"/>
    <n v="15400"/>
    <n v="0"/>
    <n v="0"/>
    <n v="15847"/>
    <s v="864001085068099"/>
    <n v="-447"/>
  </r>
  <r>
    <x v="19"/>
    <x v="1"/>
    <x v="6"/>
    <s v="MT/ACB/275"/>
    <s v="05/04/2026"/>
    <s v="Y11 5G (4/64GB) MIDNIGHT BLUE:VIVO:MOBILE"/>
    <n v="1"/>
    <n v="15000"/>
    <n v="0"/>
    <n v="0"/>
    <n v="14010"/>
    <s v="864001084561490"/>
    <n v="990"/>
  </r>
  <r>
    <x v="19"/>
    <x v="1"/>
    <x v="6"/>
    <s v="MT/ACB/309"/>
    <s v="05/04/2026"/>
    <s v="V70 5G (12/256GB) LEMON YELLOW:VIVO:MOBILE"/>
    <n v="1"/>
    <n v="45499"/>
    <n v="0"/>
    <n v="0"/>
    <n v="45894"/>
    <s v="861636084561538"/>
    <n v="-395"/>
  </r>
  <r>
    <x v="19"/>
    <x v="1"/>
    <x v="6"/>
    <s v="MT/ACB/319"/>
    <s v="05/04/2026"/>
    <s v="Y51 PRO 5G (8/128GB) NOBLE GOLD:VIVO:MOBILE"/>
    <n v="1"/>
    <n v="23000"/>
    <n v="0"/>
    <n v="0"/>
    <n v="23147"/>
    <s v="864155081190883"/>
    <n v="-147"/>
  </r>
  <r>
    <x v="19"/>
    <x v="1"/>
    <x v="6"/>
    <s v="MT/ACB/367"/>
    <s v="06/04/2026"/>
    <s v="Y11 5G (4/128GB) SUNRISE GOLD:VIVO:MOBILE"/>
    <n v="1"/>
    <n v="16000"/>
    <n v="0"/>
    <n v="0"/>
    <n v="15847"/>
    <s v="864001083946635"/>
    <n v="153"/>
  </r>
  <r>
    <x v="19"/>
    <x v="1"/>
    <x v="6"/>
    <s v="MT/ACB/382"/>
    <s v="06/04/2026"/>
    <s v="V70 ELITE 5G (12/512GB) AUTHENTIC BLACK:VIVO:MOBILE"/>
    <n v="1"/>
    <n v="58000"/>
    <n v="0"/>
    <n v="0"/>
    <n v="56970"/>
    <s v="864253087929436"/>
    <n v="1030"/>
  </r>
  <r>
    <x v="19"/>
    <x v="1"/>
    <x v="6"/>
    <s v="MT/ACB/454"/>
    <s v="07/04/2026"/>
    <s v="X300 5G (12/256GB) MIST BLUE:VIVO:MOBILE"/>
    <n v="1"/>
    <n v="72000"/>
    <n v="0"/>
    <n v="0"/>
    <n v="69202"/>
    <s v="867203082025414"/>
    <n v="2798"/>
  </r>
  <r>
    <x v="19"/>
    <x v="1"/>
    <x v="6"/>
    <s v="MT/ACB/472"/>
    <s v="08/04/2026"/>
    <s v="V70 5G (8/256GB) LEMON YELLOW:VIVO:MOBILE"/>
    <n v="1"/>
    <n v="41999"/>
    <n v="0"/>
    <n v="0"/>
    <n v="42253"/>
    <s v="861636081094079"/>
    <n v="-254"/>
  </r>
  <r>
    <x v="19"/>
    <x v="1"/>
    <x v="6"/>
    <s v="MT/ACB/537"/>
    <s v="08/04/2026"/>
    <s v="V70 FE 5G (8/256GB) MONSOON BLUE:VIVO:MOBILE"/>
    <n v="1"/>
    <n v="37599"/>
    <n v="0"/>
    <n v="0"/>
    <n v="37663"/>
    <s v="861130087517754"/>
    <n v="-64"/>
  </r>
  <r>
    <x v="19"/>
    <x v="1"/>
    <x v="6"/>
    <s v="MT/ACB/546"/>
    <s v="09/04/2026"/>
    <s v="V70 FE 5G (8/128GB) MONSOON BLUE:VIVO:MOBILE"/>
    <n v="1"/>
    <n v="35799"/>
    <n v="0"/>
    <n v="0"/>
    <n v="35123"/>
    <s v="861130088298131"/>
    <n v="676"/>
  </r>
  <r>
    <x v="19"/>
    <x v="1"/>
    <x v="6"/>
    <s v="MT/ACB/554"/>
    <s v="09/04/2026"/>
    <s v="Y300 5G (8/256GB) EMERALD GREEN:VIVO:MOBILE"/>
    <n v="1"/>
    <n v="23000"/>
    <n v="0"/>
    <n v="0"/>
    <n v="21563"/>
    <s v="864890071736838"/>
    <n v="1437"/>
  </r>
  <r>
    <x v="19"/>
    <x v="1"/>
    <x v="6"/>
    <s v="MT/ACB/588"/>
    <s v="09/04/2026"/>
    <s v="V70 5G (8/256GB) PASSION RED:VIVO:MOBILE"/>
    <n v="1"/>
    <n v="40500"/>
    <n v="0"/>
    <n v="0"/>
    <n v="42253"/>
    <s v="861636080799991"/>
    <n v="-1753"/>
  </r>
  <r>
    <x v="19"/>
    <x v="1"/>
    <x v="6"/>
    <s v="MT/ACB/627"/>
    <s v="10/04/2026"/>
    <s v="V70 FE 5G (8/256GB) MONSOON BLUE:VIVO:MOBILE"/>
    <n v="1"/>
    <n v="38499"/>
    <n v="0"/>
    <n v="0"/>
    <n v="37663"/>
    <s v="861130087522614"/>
    <n v="836"/>
  </r>
  <r>
    <x v="19"/>
    <x v="1"/>
    <x v="6"/>
    <s v="MT/ACB/664"/>
    <s v="10/04/2026"/>
    <s v="Y400 5G (8/128GB) GLAM WHITE:VIVO:MOBILE"/>
    <n v="1"/>
    <n v="24500"/>
    <n v="0"/>
    <n v="0"/>
    <n v="23990"/>
    <s v="861570071382691"/>
    <n v="510"/>
  </r>
  <r>
    <x v="19"/>
    <x v="1"/>
    <x v="6"/>
    <s v="MT/ACB/686"/>
    <s v="11/04/2026"/>
    <s v="Y11 5G (4/128GB) MIDNIGHT BLUE:VIVO:MOBILE"/>
    <n v="1"/>
    <n v="16000"/>
    <n v="0"/>
    <n v="0"/>
    <n v="15847"/>
    <s v="864001083532377"/>
    <n v="153"/>
  </r>
  <r>
    <x v="20"/>
    <x v="1"/>
    <x v="3"/>
    <s v="MT/ACB/414"/>
    <s v="07/04/2026"/>
    <s v="MOTO G96 (8/128GB) GREENER PASTURES:MOTOROLA:MOBILE"/>
    <n v="1"/>
    <n v="18400"/>
    <n v="0"/>
    <n v="0"/>
    <n v="18454"/>
    <s v="355024343668431"/>
    <n v="-54"/>
  </r>
  <r>
    <x v="20"/>
    <x v="1"/>
    <x v="2"/>
    <s v="MT/ACB/113"/>
    <s v="02/04/2026"/>
    <s v="ONE PLUS 15R (12/256GB) MINT BREEZE:ONE PLUS:MOBILE"/>
    <n v="1"/>
    <n v="50500"/>
    <n v="0"/>
    <n v="0"/>
    <n v="48915"/>
    <s v="862329083970038"/>
    <n v="1585"/>
  </r>
  <r>
    <x v="20"/>
    <x v="1"/>
    <x v="4"/>
    <s v="MT/ACB/31"/>
    <s v="01/04/2026"/>
    <s v="16 PRO 5G (8/256GB) PEBBLE GREY:REALME:MOBILE"/>
    <n v="1"/>
    <n v="34500"/>
    <n v="0"/>
    <n v="0"/>
    <n v="34658"/>
    <s v="869883083659598"/>
    <n v="-158"/>
  </r>
  <r>
    <x v="20"/>
    <x v="1"/>
    <x v="4"/>
    <s v="MT/ACB/40"/>
    <s v="01/04/2026"/>
    <s v="16 PRO+ 5G (8/256GB) MASTER GREY:REALME:MOBILE"/>
    <n v="1"/>
    <n v="43000"/>
    <n v="0"/>
    <n v="0"/>
    <n v="41955"/>
    <s v="865616081909795"/>
    <n v="1045"/>
  </r>
  <r>
    <x v="20"/>
    <x v="1"/>
    <x v="4"/>
    <s v="MT/ACB/271"/>
    <s v="05/04/2026"/>
    <s v="16 5G (8/256GB) AIR WHITE:REALME:MOBILE"/>
    <n v="1"/>
    <n v="31500"/>
    <n v="0"/>
    <n v="0"/>
    <n v="31010"/>
    <s v="866389084227396"/>
    <n v="490"/>
  </r>
  <r>
    <x v="20"/>
    <x v="1"/>
    <x v="4"/>
    <s v="MT/ACB/282"/>
    <s v="05/04/2026"/>
    <s v="16 5G (12/256GB) AIR BLACK:REALME:MOBILE"/>
    <n v="1"/>
    <n v="33999"/>
    <n v="0"/>
    <n v="0"/>
    <n v="33746"/>
    <s v="866389083464875"/>
    <n v="253"/>
  </r>
  <r>
    <x v="20"/>
    <x v="1"/>
    <x v="4"/>
    <s v="MT/ACB/291"/>
    <s v="05/04/2026"/>
    <s v="C83 5G (4/64GB) SPROUTING GREEN:REALME:MOBILE"/>
    <n v="1"/>
    <n v="13500"/>
    <n v="0"/>
    <n v="0"/>
    <n v="13582"/>
    <s v="860543080982174"/>
    <n v="-82"/>
  </r>
  <r>
    <x v="20"/>
    <x v="1"/>
    <x v="4"/>
    <s v="MT/ACB/320"/>
    <s v="05/04/2026"/>
    <s v="16 5G (8/256GB) AIR WHITE:REALME:MOBILE"/>
    <n v="1"/>
    <n v="31000"/>
    <n v="0"/>
    <n v="0"/>
    <n v="31010"/>
    <s v="866389084144278"/>
    <n v="-10"/>
  </r>
  <r>
    <x v="20"/>
    <x v="1"/>
    <x v="4"/>
    <s v="MT/ACB/339"/>
    <s v="06/04/2026"/>
    <s v="16 5G (8/256GB) AIR WHITE:REALME:MOBILE"/>
    <n v="1"/>
    <n v="31500"/>
    <n v="0"/>
    <n v="0"/>
    <n v="31010"/>
    <s v="866389084208677"/>
    <n v="490"/>
  </r>
  <r>
    <x v="20"/>
    <x v="1"/>
    <x v="4"/>
    <s v="MT/ACB/351"/>
    <s v="06/04/2026"/>
    <s v="C83 5G (4/128GB) SPROUTING GREEN:REALME:MOBILE(T.VALUE)"/>
    <n v="1"/>
    <n v="15200"/>
    <n v="0"/>
    <n v="0"/>
    <n v="14175"/>
    <s v="860543080403155"/>
    <n v="1025"/>
  </r>
  <r>
    <x v="20"/>
    <x v="1"/>
    <x v="4"/>
    <s v="MT/ACB/381"/>
    <s v="06/04/2026"/>
    <s v="16 5G (8/256GB) AIR WHITE:REALME:MOBILE"/>
    <n v="1"/>
    <n v="31500"/>
    <n v="0"/>
    <n v="0"/>
    <n v="31010"/>
    <s v="866389084208693"/>
    <n v="490"/>
  </r>
  <r>
    <x v="20"/>
    <x v="1"/>
    <x v="4"/>
    <s v="MT/ACB/393"/>
    <s v="06/04/2026"/>
    <s v="16 5G (8/128GB) AIR WHITE:REALME:MOBILE"/>
    <n v="1"/>
    <n v="29500"/>
    <n v="0"/>
    <n v="0"/>
    <n v="29186"/>
    <s v="866389080256738"/>
    <n v="314"/>
  </r>
  <r>
    <x v="20"/>
    <x v="1"/>
    <x v="4"/>
    <s v="MT/ACB/394"/>
    <s v="06/04/2026"/>
    <s v="16 5G (8/256GB) AIR WHITE:REALME:MOBILE"/>
    <n v="1"/>
    <n v="31000"/>
    <n v="0"/>
    <n v="0"/>
    <n v="31010"/>
    <s v="866389084193770"/>
    <n v="-10"/>
  </r>
  <r>
    <x v="20"/>
    <x v="1"/>
    <x v="4"/>
    <s v="MT/ACB/409"/>
    <s v="07/04/2026"/>
    <s v="16 5G (8/128GB) AIR WHITE:REALME:MOBILE"/>
    <n v="1"/>
    <n v="28500"/>
    <n v="0"/>
    <n v="0"/>
    <n v="29186"/>
    <s v="866389080249279"/>
    <n v="-686"/>
  </r>
  <r>
    <x v="20"/>
    <x v="1"/>
    <x v="4"/>
    <s v="MT/ACB/411"/>
    <s v="07/04/2026"/>
    <s v="16 5G (8/256GB) AIR BLACK:REALME:MOBILE"/>
    <n v="1"/>
    <n v="31000"/>
    <n v="0"/>
    <n v="0"/>
    <n v="31010"/>
    <s v="860602080266838"/>
    <n v="-10"/>
  </r>
  <r>
    <x v="20"/>
    <x v="1"/>
    <x v="4"/>
    <s v="MT/ACB/419"/>
    <s v="07/04/2026"/>
    <s v="16 5G (8/128GB) AIR WHITE:REALME:MOBILE"/>
    <n v="1"/>
    <n v="29000"/>
    <n v="0"/>
    <n v="0"/>
    <n v="29186"/>
    <s v="866389080249311"/>
    <n v="-186"/>
  </r>
  <r>
    <x v="20"/>
    <x v="1"/>
    <x v="4"/>
    <s v="MT/ACB/422"/>
    <s v="07/04/2026"/>
    <s v="16 5G (8/256GB) AIR WHITE:REALME:MOBILE"/>
    <n v="1"/>
    <n v="31000"/>
    <n v="0"/>
    <n v="0"/>
    <n v="31010"/>
    <s v="866389084178938"/>
    <n v="-10"/>
  </r>
  <r>
    <x v="20"/>
    <x v="1"/>
    <x v="4"/>
    <s v="MT/ACB/450"/>
    <s v="07/04/2026"/>
    <s v="16 5G (12/256GB) AIR BLACK:REALME:MOBILE"/>
    <n v="1"/>
    <n v="33500"/>
    <n v="0"/>
    <n v="0"/>
    <n v="33746"/>
    <s v="866389083465351"/>
    <n v="-246"/>
  </r>
  <r>
    <x v="20"/>
    <x v="1"/>
    <x v="4"/>
    <s v="MT/ACB/475"/>
    <s v="08/04/2026"/>
    <s v="16 5G (8/128GB) AIR BLACK:REALME:MOBILE"/>
    <n v="1"/>
    <n v="28699"/>
    <n v="0"/>
    <n v="0"/>
    <n v="29186"/>
    <s v="866389080081151"/>
    <n v="-487"/>
  </r>
  <r>
    <x v="20"/>
    <x v="1"/>
    <x v="4"/>
    <s v="MT/ACB/476"/>
    <s v="08/04/2026"/>
    <s v="16 5G (8/256GB) AIR WHITE:REALME:MOBILE"/>
    <n v="1"/>
    <n v="30499"/>
    <n v="0"/>
    <n v="0"/>
    <n v="31010"/>
    <s v="866389084193754"/>
    <n v="-511"/>
  </r>
  <r>
    <x v="20"/>
    <x v="1"/>
    <x v="4"/>
    <s v="MT/ACB/493"/>
    <s v="08/04/2026"/>
    <s v="16 PRO+ 5G (8/256GB) MASTER GREY:REALME:MOBILE"/>
    <n v="1"/>
    <n v="42500"/>
    <n v="0"/>
    <n v="0"/>
    <n v="41955"/>
    <s v="865616081909696"/>
    <n v="545"/>
  </r>
  <r>
    <x v="20"/>
    <x v="1"/>
    <x v="4"/>
    <s v="MT/ACB/547"/>
    <s v="09/04/2026"/>
    <s v="16 5G (8/256GB) AIR WHITE:REALME:MOBILE"/>
    <n v="1"/>
    <n v="31000"/>
    <n v="0"/>
    <n v="0"/>
    <n v="31010"/>
    <s v="866389084208578"/>
    <n v="-10"/>
  </r>
  <r>
    <x v="20"/>
    <x v="1"/>
    <x v="4"/>
    <s v="MT/ACB/614"/>
    <s v="09/04/2026"/>
    <s v="16 5G (8/128GB) AIR BLACK:REALME:MOBILE"/>
    <n v="1"/>
    <n v="28595"/>
    <n v="0"/>
    <n v="0"/>
    <n v="29186"/>
    <s v="866389080128036"/>
    <n v="-591"/>
  </r>
  <r>
    <x v="20"/>
    <x v="1"/>
    <x v="4"/>
    <s v="MT/ACB/630"/>
    <s v="10/04/2026"/>
    <s v="16 5G (8/256GB) AIR WHITE:REALME:MOBILE"/>
    <n v="1"/>
    <n v="31000"/>
    <n v="0"/>
    <n v="0"/>
    <n v="31010"/>
    <s v="866389084161652"/>
    <n v="-10"/>
  </r>
  <r>
    <x v="20"/>
    <x v="1"/>
    <x v="4"/>
    <s v="MT/ACB/631"/>
    <s v="10/04/2026"/>
    <s v="16 5G (12/256GB) AIR WHITE:REALME:MOBILE"/>
    <n v="1"/>
    <n v="35000"/>
    <n v="0"/>
    <n v="0"/>
    <n v="33746"/>
    <s v="866389083130096"/>
    <n v="1254"/>
  </r>
  <r>
    <x v="20"/>
    <x v="1"/>
    <x v="4"/>
    <s v="MT/ACB/656"/>
    <s v="10/04/2026"/>
    <s v="16 5G (8/256GB) AIR WHITE:REALME:MOBILE"/>
    <n v="1"/>
    <n v="31500"/>
    <n v="0"/>
    <n v="0"/>
    <n v="31010"/>
    <s v="866389084162239"/>
    <n v="490"/>
  </r>
  <r>
    <x v="20"/>
    <x v="1"/>
    <x v="4"/>
    <s v="MT/ACB/680"/>
    <s v="11/04/2026"/>
    <s v="16 5G (8/128GB) AIR BLACK:REALME:MOBILE"/>
    <n v="1"/>
    <n v="28800"/>
    <n v="0"/>
    <n v="0"/>
    <n v="29186"/>
    <s v="866389080143654"/>
    <n v="-386"/>
  </r>
  <r>
    <x v="20"/>
    <x v="1"/>
    <x v="4"/>
    <s v="MT/ACB/714"/>
    <s v="11/04/2026"/>
    <s v="16 5G (8/256GB) AIR WHITE:REALME:MOBILE"/>
    <n v="1"/>
    <n v="30499"/>
    <n v="0"/>
    <n v="0"/>
    <n v="31010"/>
    <s v="866389084118835"/>
    <n v="-511"/>
  </r>
  <r>
    <x v="20"/>
    <x v="1"/>
    <x v="4"/>
    <s v="MT/ACB/717"/>
    <s v="11/04/2026"/>
    <s v="16 5G (8/256GB) AIR WHITE:REALME:MOBILE"/>
    <n v="1"/>
    <n v="30499"/>
    <n v="0"/>
    <n v="0"/>
    <n v="31010"/>
    <s v="866389084227438"/>
    <n v="-511"/>
  </r>
  <r>
    <x v="20"/>
    <x v="1"/>
    <x v="4"/>
    <s v="MT/ACB/721"/>
    <s v="11/04/2026"/>
    <s v="16 5G (8/256GB) AIR WHITE:REALME:MOBILE"/>
    <n v="1"/>
    <n v="31000"/>
    <n v="0"/>
    <n v="0"/>
    <n v="31010"/>
    <s v="866389084208479"/>
    <n v="-10"/>
  </r>
  <r>
    <x v="20"/>
    <x v="1"/>
    <x v="4"/>
    <s v="MT/ACB/722"/>
    <s v="11/04/2026"/>
    <s v="16 5G (8/256GB) AIR WHITE:REALME:MOBILE"/>
    <n v="1"/>
    <n v="30499"/>
    <n v="0"/>
    <n v="0"/>
    <n v="31010"/>
    <s v="866389084192830"/>
    <n v="-511"/>
  </r>
  <r>
    <x v="20"/>
    <x v="1"/>
    <x v="4"/>
    <s v="MT/ACB/738"/>
    <s v="11/04/2026"/>
    <s v="16 5G (12/256GB) AIR BLACK:REALME:MOBILE"/>
    <n v="1"/>
    <n v="33200"/>
    <n v="0"/>
    <n v="0"/>
    <n v="33746"/>
    <s v="866389083464339"/>
    <n v="-546"/>
  </r>
  <r>
    <x v="20"/>
    <x v="1"/>
    <x v="7"/>
    <s v="MT/ACB/292"/>
    <s v="05/04/2026"/>
    <s v="REDMI 15C 5G (4/128GB) DUSK PURPLE:XIAOMI:MOBILE"/>
    <n v="1"/>
    <n v="14500"/>
    <n v="0"/>
    <n v="0"/>
    <n v="14473"/>
    <s v="862554079987064"/>
    <n v="27"/>
  </r>
  <r>
    <x v="21"/>
    <x v="1"/>
    <x v="13"/>
    <s v="MT/ACB/634"/>
    <s v="10/04/2026"/>
    <s v="IT5262 A1 BLUE:ITEL:MOBILE"/>
    <n v="1"/>
    <n v="1500"/>
    <n v="0"/>
    <n v="0"/>
    <n v="1345"/>
    <s v="358643194680349"/>
    <n v="155"/>
  </r>
  <r>
    <x v="21"/>
    <x v="1"/>
    <x v="13"/>
    <s v="MT/ACB/652"/>
    <s v="10/04/2026"/>
    <s v="IT5262 A1 GREEN:ITEL:MOBILE"/>
    <n v="1"/>
    <n v="1450"/>
    <n v="0"/>
    <n v="0"/>
    <n v="1345"/>
    <s v="357719860834690"/>
    <n v="105"/>
  </r>
  <r>
    <x v="21"/>
    <x v="1"/>
    <x v="3"/>
    <s v="MT/ACB/193"/>
    <s v="03/04/2026"/>
    <s v="MOTO G57 (8/128GB) PANTONE REGATTA:MOTOROLA:MOBILE"/>
    <n v="1"/>
    <n v="15000"/>
    <n v="0"/>
    <n v="0"/>
    <n v="14568"/>
    <s v="359006539721674"/>
    <n v="432"/>
  </r>
  <r>
    <x v="21"/>
    <x v="1"/>
    <x v="3"/>
    <s v="MT/ACB/289"/>
    <s v="05/04/2026"/>
    <s v="MOTO G67 POWER (8/128GB) CILANTRO:MOTOROLA:MOBILE"/>
    <n v="1"/>
    <n v="16999"/>
    <n v="0"/>
    <n v="0"/>
    <n v="16511"/>
    <s v="356231213511133"/>
    <n v="488"/>
  </r>
  <r>
    <x v="21"/>
    <x v="1"/>
    <x v="3"/>
    <s v="MT/ACB/290"/>
    <s v="05/04/2026"/>
    <s v="MOTO EDGE 70 FUSION (8/128GB) BLUE SURF:MOTOROLA:MOBILE"/>
    <n v="1"/>
    <n v="26500"/>
    <n v="0"/>
    <n v="0"/>
    <n v="25975"/>
    <s v="353324456621579"/>
    <n v="525"/>
  </r>
  <r>
    <x v="21"/>
    <x v="1"/>
    <x v="3"/>
    <s v="MT/ACB/387"/>
    <s v="06/04/2026"/>
    <s v="MOTO EDGE 60 FUSION (8/128GB) MYKONOS BLUE:MOTOROLA:MOBILE"/>
    <n v="1"/>
    <n v="20500"/>
    <n v="0"/>
    <n v="0"/>
    <n v="20203"/>
    <s v="354845693382814"/>
    <n v="297"/>
  </r>
  <r>
    <x v="21"/>
    <x v="1"/>
    <x v="3"/>
    <s v="MT/ACB/667"/>
    <s v="10/04/2026"/>
    <s v="MOTO EDGE 60 FUSION (12/256GB) ZEPHYR:MOTOROLA:MOBILE"/>
    <n v="1"/>
    <n v="26500"/>
    <n v="0"/>
    <n v="0"/>
    <n v="25975"/>
    <s v="354845694150939"/>
    <n v="525"/>
  </r>
  <r>
    <x v="21"/>
    <x v="1"/>
    <x v="3"/>
    <s v="MT/ACB/708"/>
    <s v="11/04/2026"/>
    <s v="MOTO EDGE 70 FUSION (8/128GB) COUNTRY AIR:MOTOROLA:MOBILE"/>
    <n v="1"/>
    <n v="26000"/>
    <n v="0"/>
    <n v="0"/>
    <n v="25975"/>
    <s v="357279952982758"/>
    <n v="25"/>
  </r>
  <r>
    <x v="21"/>
    <x v="1"/>
    <x v="3"/>
    <s v="MT/ACB/735"/>
    <s v="11/04/2026"/>
    <s v="MOTO G67 POWER (8/128GB) CILANTRO:MOTOROLA:MOBILE"/>
    <n v="1"/>
    <n v="16500"/>
    <n v="0"/>
    <n v="0"/>
    <n v="16511"/>
    <s v="356231213525174"/>
    <n v="-11"/>
  </r>
  <r>
    <x v="21"/>
    <x v="1"/>
    <x v="1"/>
    <s v="MT/ACB/273"/>
    <s v="05/04/2026"/>
    <s v="N130(M-DUALSIM) DARK-BLUE:NOKIA:MOBILE"/>
    <n v="1"/>
    <n v="2100"/>
    <n v="0"/>
    <n v="0"/>
    <n v="1936"/>
    <s v="350866499017242"/>
    <n v="164"/>
  </r>
  <r>
    <x v="21"/>
    <x v="1"/>
    <x v="1"/>
    <s v="MT/ACB/368"/>
    <s v="06/04/2026"/>
    <s v="N130(M-DUALSIM) DARK-BLUE:NOKIA:MOBILE"/>
    <n v="1"/>
    <n v="2000"/>
    <n v="0"/>
    <n v="0"/>
    <n v="1936"/>
    <s v="350866498941764"/>
    <n v="64"/>
  </r>
  <r>
    <x v="21"/>
    <x v="1"/>
    <x v="1"/>
    <s v="MT/ACB/408"/>
    <s v="07/04/2026"/>
    <s v="HMD-105(DUALSIM-4G-TA-1657) BLACK:NOKIA:MOBILE"/>
    <n v="1"/>
    <n v="2500"/>
    <n v="0"/>
    <n v="0"/>
    <n v="2039"/>
    <s v="359926421662902"/>
    <n v="461"/>
  </r>
  <r>
    <x v="21"/>
    <x v="1"/>
    <x v="1"/>
    <s v="MT/ACB/565"/>
    <s v="09/04/2026"/>
    <s v="HMD-105(DUALSIM-4G-TA-1657) BLACK:NOKIA:MOBILE"/>
    <n v="1"/>
    <n v="2600"/>
    <n v="0"/>
    <n v="0"/>
    <n v="2039"/>
    <s v="359926421678338"/>
    <n v="561"/>
  </r>
  <r>
    <x v="21"/>
    <x v="1"/>
    <x v="11"/>
    <s v="MT/ACB/194"/>
    <s v="03/04/2026"/>
    <s v="A6 5G (4/128GB) SAPPHIRE BLUE:OPPO:MOBILE"/>
    <n v="1"/>
    <n v="19000"/>
    <n v="0"/>
    <n v="0"/>
    <n v="18708"/>
    <s v="862869081514379"/>
    <n v="292"/>
  </r>
  <r>
    <x v="21"/>
    <x v="1"/>
    <x v="4"/>
    <s v="MT/ACB/46"/>
    <s v="01/04/2026"/>
    <s v="C83 5G (6/128GB) BLOOMING PURPLE:REALME:MOBILE"/>
    <n v="1"/>
    <n v="17300"/>
    <n v="0"/>
    <n v="0"/>
    <n v="17329"/>
    <s v="866276081585670"/>
    <n v="-29"/>
  </r>
  <r>
    <x v="21"/>
    <x v="1"/>
    <x v="4"/>
    <s v="MT/ACB/77"/>
    <s v="01/04/2026"/>
    <s v="15 PRO 5G (8/256GB) FLOWING SILVER:REALME:MOBILE"/>
    <n v="1"/>
    <n v="31500"/>
    <n v="0"/>
    <n v="0"/>
    <n v="31010"/>
    <s v="860223074707594"/>
    <n v="490"/>
  </r>
  <r>
    <x v="21"/>
    <x v="1"/>
    <x v="4"/>
    <s v="MT/ACB/115"/>
    <s v="02/04/2026"/>
    <s v="15 5G (8/128GB) VELVET GREEN:REALME:MOBILE"/>
    <n v="1"/>
    <n v="29999"/>
    <n v="0"/>
    <n v="0"/>
    <n v="27362"/>
    <s v="867624076477990"/>
    <n v="2637"/>
  </r>
  <r>
    <x v="21"/>
    <x v="1"/>
    <x v="4"/>
    <s v="MT/ACB/323"/>
    <s v="05/04/2026"/>
    <s v="16 5G (8/256GB) AIR WHITE:REALME:MOBILE"/>
    <n v="1"/>
    <n v="31000"/>
    <n v="0"/>
    <n v="0"/>
    <n v="31010"/>
    <s v="866389084118777"/>
    <n v="-10"/>
  </r>
  <r>
    <x v="21"/>
    <x v="1"/>
    <x v="4"/>
    <s v="MT/ACB/336"/>
    <s v="06/04/2026"/>
    <s v="16 5G (8/256GB) AIR BLACK:REALME:MOBILE"/>
    <n v="1"/>
    <n v="31000"/>
    <n v="0"/>
    <n v="0"/>
    <n v="31010"/>
    <s v="866389081259814"/>
    <n v="-10"/>
  </r>
  <r>
    <x v="21"/>
    <x v="1"/>
    <x v="4"/>
    <s v="MT/ACB/355"/>
    <s v="06/04/2026"/>
    <s v="16 5G (8/128GB) AIR WHITE:REALME:MOBILE"/>
    <n v="1"/>
    <n v="29400"/>
    <n v="0"/>
    <n v="0"/>
    <n v="29186"/>
    <s v="866389080249477"/>
    <n v="214"/>
  </r>
  <r>
    <x v="21"/>
    <x v="1"/>
    <x v="4"/>
    <s v="MT/ACB/384"/>
    <s v="06/04/2026"/>
    <s v="16 5G (8/128GB) AIR WHITE:REALME:MOBILE"/>
    <n v="1"/>
    <n v="29000"/>
    <n v="0"/>
    <n v="0"/>
    <n v="29186"/>
    <s v="866389080291099"/>
    <n v="-186"/>
  </r>
  <r>
    <x v="21"/>
    <x v="1"/>
    <x v="4"/>
    <s v="MT/ACB/395"/>
    <s v="06/04/2026"/>
    <s v="16 5G (8/128GB) AIR WHITE:REALME:MOBILE"/>
    <n v="1"/>
    <n v="28500"/>
    <n v="0"/>
    <n v="0"/>
    <n v="29186"/>
    <s v="866389080293590"/>
    <n v="-686"/>
  </r>
  <r>
    <x v="21"/>
    <x v="1"/>
    <x v="4"/>
    <s v="MT/ACB/397"/>
    <s v="07/04/2026"/>
    <s v="16 5G (12/256GB) AIR WHITE:REALME:MOBILE"/>
    <n v="1"/>
    <n v="34500"/>
    <n v="0"/>
    <n v="0"/>
    <n v="33746"/>
    <s v="866389083160770"/>
    <n v="754"/>
  </r>
  <r>
    <x v="21"/>
    <x v="1"/>
    <x v="4"/>
    <s v="MT/ACB/398"/>
    <s v="07/04/2026"/>
    <s v="16 5G (8/128GB) AIR WHITE:REALME:MOBILE"/>
    <n v="1"/>
    <n v="28500"/>
    <n v="0"/>
    <n v="0"/>
    <n v="29186"/>
    <s v="866389080307630"/>
    <n v="-686"/>
  </r>
  <r>
    <x v="21"/>
    <x v="1"/>
    <x v="4"/>
    <s v="MT/ACB/410"/>
    <s v="07/04/2026"/>
    <s v="16 5G (8/256GB) AIR BLACK:REALME:MOBILE"/>
    <n v="1"/>
    <n v="30999"/>
    <n v="0"/>
    <n v="0"/>
    <n v="31010"/>
    <s v="860602080266796"/>
    <n v="-11"/>
  </r>
  <r>
    <x v="21"/>
    <x v="1"/>
    <x v="4"/>
    <s v="MT/ACB/413"/>
    <s v="07/04/2026"/>
    <s v="16 5G (8/256GB) AIR WHITE:REALME:MOBILE"/>
    <n v="1"/>
    <n v="31000"/>
    <n v="0"/>
    <n v="0"/>
    <n v="31010"/>
    <s v="866389084101658"/>
    <n v="-10"/>
  </r>
  <r>
    <x v="21"/>
    <x v="1"/>
    <x v="4"/>
    <s v="MT/ACB/428"/>
    <s v="07/04/2026"/>
    <s v="16 5G (12/256GB) AIR WHITE:REALME:MOBILE"/>
    <n v="1"/>
    <n v="35000"/>
    <n v="0"/>
    <n v="0"/>
    <n v="33746"/>
    <s v="866389083194472"/>
    <n v="1254"/>
  </r>
  <r>
    <x v="21"/>
    <x v="1"/>
    <x v="4"/>
    <s v="MT/ACB/451"/>
    <s v="07/04/2026"/>
    <s v="16 5G (8/256GB) AIR WHITE:REALME:MOBILE"/>
    <n v="1"/>
    <n v="31000"/>
    <n v="0"/>
    <n v="0"/>
    <n v="31010"/>
    <s v="866389084084250"/>
    <n v="-10"/>
  </r>
  <r>
    <x v="21"/>
    <x v="1"/>
    <x v="4"/>
    <s v="MT/ACB/481"/>
    <s v="08/04/2026"/>
    <s v="16 5G (8/256GB) AIR WHITE:REALME:MOBILE"/>
    <n v="1"/>
    <n v="31000"/>
    <n v="0"/>
    <n v="0"/>
    <n v="31010"/>
    <s v="866389084084136"/>
    <n v="-10"/>
  </r>
  <r>
    <x v="21"/>
    <x v="1"/>
    <x v="4"/>
    <s v="MT/ACB/485"/>
    <s v="08/04/2026"/>
    <s v="16 5G (8/128GB) AIR BLACK:REALME:MOBILE"/>
    <n v="1"/>
    <n v="29000"/>
    <n v="0"/>
    <n v="0"/>
    <n v="29186"/>
    <s v="866389080153059"/>
    <n v="-186"/>
  </r>
  <r>
    <x v="21"/>
    <x v="1"/>
    <x v="4"/>
    <s v="MT/ACB/508"/>
    <s v="08/04/2026"/>
    <s v="16 5G (8/128GB) AIR BLACK:REALME:MOBILE"/>
    <n v="1"/>
    <n v="28500"/>
    <n v="0"/>
    <n v="0"/>
    <n v="29186"/>
    <s v="866389080362494"/>
    <n v="-686"/>
  </r>
  <r>
    <x v="21"/>
    <x v="1"/>
    <x v="4"/>
    <s v="MT/ACB/529"/>
    <s v="08/04/2026"/>
    <s v="16 5G (8/256GB) AIR WHITE:REALME:MOBILE"/>
    <n v="1"/>
    <n v="31000"/>
    <n v="0"/>
    <n v="0"/>
    <n v="31010"/>
    <s v="866389084193671"/>
    <n v="-10"/>
  </r>
  <r>
    <x v="21"/>
    <x v="1"/>
    <x v="4"/>
    <s v="MT/ACB/563"/>
    <s v="09/04/2026"/>
    <s v="16 5G (8/256GB) AIR WHITE:REALME:MOBILE"/>
    <n v="1"/>
    <n v="30800"/>
    <n v="0"/>
    <n v="0"/>
    <n v="31010"/>
    <s v="866389084101997"/>
    <n v="-210"/>
  </r>
  <r>
    <x v="21"/>
    <x v="1"/>
    <x v="4"/>
    <s v="MT/ACB/569"/>
    <s v="09/04/2026"/>
    <s v="16 5G (8/256GB) AIR WHITE:REALME:MOBILE"/>
    <n v="1"/>
    <n v="31500"/>
    <n v="0"/>
    <n v="0"/>
    <n v="31010"/>
    <s v="866389084210475"/>
    <n v="490"/>
  </r>
  <r>
    <x v="21"/>
    <x v="1"/>
    <x v="4"/>
    <s v="MT/ACB/608"/>
    <s v="09/04/2026"/>
    <s v="16 5G (8/256GB) AIR WHITE:REALME:MOBILE"/>
    <n v="1"/>
    <n v="30500"/>
    <n v="0"/>
    <n v="0"/>
    <n v="31010"/>
    <s v="866389084227552"/>
    <n v="-510"/>
  </r>
  <r>
    <x v="21"/>
    <x v="1"/>
    <x v="4"/>
    <s v="MT/ACB/613"/>
    <s v="09/04/2026"/>
    <s v="16 5G (8/256GB) AIR WHITE:REALME:MOBILE"/>
    <n v="1"/>
    <n v="31000"/>
    <n v="0"/>
    <n v="0"/>
    <n v="31010"/>
    <s v="866389084082932"/>
    <n v="-10"/>
  </r>
  <r>
    <x v="21"/>
    <x v="1"/>
    <x v="4"/>
    <s v="MT/ACB/658"/>
    <s v="10/04/2026"/>
    <s v="16 5G (8/256GB) AIR WHITE:REALME:MOBILE"/>
    <n v="1"/>
    <n v="30500"/>
    <n v="0"/>
    <n v="0"/>
    <n v="31010"/>
    <s v="866389084208537"/>
    <n v="-510"/>
  </r>
  <r>
    <x v="21"/>
    <x v="1"/>
    <x v="4"/>
    <s v="MT/ACB/683"/>
    <s v="11/04/2026"/>
    <s v="16 5G (8/256GB) AIR BLACK:REALME:MOBILE"/>
    <n v="1"/>
    <n v="30499"/>
    <n v="0"/>
    <n v="0"/>
    <n v="31010"/>
    <s v="860602080266754"/>
    <n v="-511"/>
  </r>
  <r>
    <x v="21"/>
    <x v="1"/>
    <x v="4"/>
    <s v="MT/ACB/707"/>
    <s v="11/04/2026"/>
    <s v="C83 5G (4/128GB) BLOOMING PURPLE:REALME:MOBILE(T.VALUE)"/>
    <n v="1"/>
    <n v="14000"/>
    <n v="0"/>
    <n v="0"/>
    <n v="14175"/>
    <s v="863074083570656"/>
    <n v="-175"/>
  </r>
  <r>
    <x v="21"/>
    <x v="1"/>
    <x v="4"/>
    <s v="MT/ACB/736"/>
    <s v="11/04/2026"/>
    <s v="16 5G (8/256GB) AIR WHITE:REALME:MOBILE"/>
    <n v="1"/>
    <n v="30500"/>
    <n v="0"/>
    <n v="0"/>
    <n v="31010"/>
    <s v="866389084209972"/>
    <n v="-510"/>
  </r>
  <r>
    <x v="21"/>
    <x v="1"/>
    <x v="7"/>
    <s v="MT/ACB/302"/>
    <s v="05/04/2026"/>
    <s v="REDMI 15A 5G (4/64GB) AMAZE PURPLE:XIAOMI:MOBILE"/>
    <n v="1"/>
    <n v="12300"/>
    <n v="0"/>
    <n v="0"/>
    <n v="12605"/>
    <s v="866938083833784"/>
    <n v="-305"/>
  </r>
  <r>
    <x v="22"/>
    <x v="1"/>
    <x v="3"/>
    <s v="MT/ACB/363"/>
    <s v="06/04/2026"/>
    <s v="MOTO G35 (4/128GB) LEAF GREEN:MOTOROLA:MOBILE"/>
    <n v="1"/>
    <n v="12000"/>
    <n v="0"/>
    <n v="0"/>
    <n v="11654"/>
    <s v="358557216830312"/>
    <n v="346"/>
  </r>
  <r>
    <x v="22"/>
    <x v="1"/>
    <x v="3"/>
    <s v="MT/ACB/433"/>
    <s v="07/04/2026"/>
    <s v="MOTO G35 (8/128GB) LEAF GREEN:MOTOROLA:MOBILE"/>
    <n v="1"/>
    <n v="13600"/>
    <n v="0"/>
    <n v="0"/>
    <n v="13597"/>
    <s v="358557219908776"/>
    <n v="3"/>
  </r>
  <r>
    <x v="22"/>
    <x v="1"/>
    <x v="2"/>
    <s v="MT/ACB/643"/>
    <s v="10/04/2026"/>
    <s v="NORD 5 (12/256GB) DRY ICE:ONE PLUS:MOBILE"/>
    <n v="1"/>
    <n v="36999"/>
    <n v="0"/>
    <n v="0"/>
    <n v="36052"/>
    <s v="863995074525152"/>
    <n v="947"/>
  </r>
  <r>
    <x v="22"/>
    <x v="1"/>
    <x v="11"/>
    <s v="MT/ACB/173"/>
    <s v="03/04/2026"/>
    <s v="A5 PRO 5G (8/128GB) MOCHA BROWN:OPPO:MOBILE"/>
    <n v="1"/>
    <n v="18000"/>
    <n v="0"/>
    <n v="0"/>
    <n v="17969"/>
    <s v="860960079464156"/>
    <n v="31"/>
  </r>
  <r>
    <x v="22"/>
    <x v="1"/>
    <x v="4"/>
    <s v="MT/ACB/69"/>
    <s v="01/04/2026"/>
    <s v="P4X 5G (8/256GB) SILVER:REALME:MOBILE"/>
    <n v="1"/>
    <n v="20999"/>
    <n v="0"/>
    <n v="0"/>
    <n v="20361"/>
    <s v="861595085295795"/>
    <n v="638"/>
  </r>
  <r>
    <x v="22"/>
    <x v="1"/>
    <x v="9"/>
    <s v="MT/ACB/86"/>
    <s v="02/04/2026"/>
    <s v="A176BN(A17 5G-8/256GB) BLACK:SAMSUNG:MOBILE"/>
    <n v="1"/>
    <n v="22000"/>
    <n v="0"/>
    <n v="0"/>
    <n v="21968"/>
    <s v="350037990366138"/>
    <n v="32"/>
  </r>
  <r>
    <x v="22"/>
    <x v="1"/>
    <x v="6"/>
    <s v="MT/ACB/26"/>
    <s v="01/04/2026"/>
    <s v="Y11 5G (4/128GB) MIDNIGHT BLUE:VIVO:MOBILE"/>
    <n v="1"/>
    <n v="16200"/>
    <n v="0"/>
    <n v="0"/>
    <n v="15847"/>
    <s v="864001085625039"/>
    <n v="353"/>
  </r>
  <r>
    <x v="22"/>
    <x v="1"/>
    <x v="6"/>
    <s v="MT/ACB/38"/>
    <s v="01/04/2026"/>
    <s v="V50E 5G (8/256GB) SAPPHIRE BLUE:VIVO:MOBILE"/>
    <n v="1"/>
    <n v="27350"/>
    <n v="0"/>
    <n v="0"/>
    <n v="27349"/>
    <s v="865186074210155"/>
    <n v="1"/>
  </r>
  <r>
    <x v="22"/>
    <x v="1"/>
    <x v="6"/>
    <s v="MT/ACB/45"/>
    <s v="01/04/2026"/>
    <s v="V70 5G (8/256GB) LEMON YELLOW:VIVO:MOBILE"/>
    <n v="1"/>
    <n v="43500"/>
    <n v="0"/>
    <n v="0"/>
    <n v="42253"/>
    <s v="861636081024696"/>
    <n v="1247"/>
  </r>
  <r>
    <x v="22"/>
    <x v="1"/>
    <x v="6"/>
    <s v="MT/ACB/57"/>
    <s v="01/04/2026"/>
    <s v="V70 5G (8/256GB) LEMON YELLOW:VIVO:MOBILE"/>
    <n v="1"/>
    <n v="42500"/>
    <n v="0"/>
    <n v="0"/>
    <n v="42253"/>
    <s v="861636081024753"/>
    <n v="247"/>
  </r>
  <r>
    <x v="22"/>
    <x v="1"/>
    <x v="6"/>
    <s v="MT/ACB/110"/>
    <s v="02/04/2026"/>
    <s v="V60E 5G (8/256GB) ELITE PURPLE:VIVO:MOBILE"/>
    <n v="1"/>
    <n v="31300"/>
    <n v="0"/>
    <n v="0"/>
    <n v="31431"/>
    <s v="865118083610075"/>
    <n v="-131"/>
  </r>
  <r>
    <x v="22"/>
    <x v="1"/>
    <x v="6"/>
    <s v="MT/ACB/124"/>
    <s v="02/04/2026"/>
    <s v="V70 5G (8/256GB) LEMON YELLOW:VIVO:MOBILE"/>
    <n v="1"/>
    <n v="43000"/>
    <n v="0"/>
    <n v="0"/>
    <n v="42253"/>
    <s v="861636081022237"/>
    <n v="747"/>
  </r>
  <r>
    <x v="22"/>
    <x v="1"/>
    <x v="6"/>
    <s v="MT/ACB/183"/>
    <s v="03/04/2026"/>
    <s v="Y11 5G (4/128GB) MIDNIGHT BLUE:VIVO:MOBILE"/>
    <n v="1"/>
    <n v="16000"/>
    <n v="0"/>
    <n v="0"/>
    <n v="15847"/>
    <s v="864001085067778"/>
    <n v="153"/>
  </r>
  <r>
    <x v="22"/>
    <x v="1"/>
    <x v="6"/>
    <s v="MT/ACB/184"/>
    <s v="03/04/2026"/>
    <s v="Y51 PRO 5G (8/128GB) NOBLE GOLD:VIVO:MOBILE"/>
    <n v="1"/>
    <n v="23400"/>
    <n v="0"/>
    <n v="0"/>
    <n v="23147"/>
    <s v="864155084874376"/>
    <n v="253"/>
  </r>
  <r>
    <x v="22"/>
    <x v="1"/>
    <x v="6"/>
    <s v="MT/ACB/207"/>
    <s v="03/04/2026"/>
    <s v="Y11 5G (4/64GB) MIDNIGHT BLUE:VIVO:MOBILE"/>
    <n v="1"/>
    <n v="14000"/>
    <n v="0"/>
    <n v="0"/>
    <n v="14010"/>
    <s v="864001088147692"/>
    <n v="-10"/>
  </r>
  <r>
    <x v="22"/>
    <x v="1"/>
    <x v="6"/>
    <s v="MT/ACB/252"/>
    <s v="04/04/2026"/>
    <s v="Y51 PRO 5G (8/128GB) NOBLE GOLD:VIVO:MOBILE"/>
    <n v="1"/>
    <n v="22800"/>
    <n v="0"/>
    <n v="0"/>
    <n v="23147"/>
    <s v="864155084873675"/>
    <n v="-347"/>
  </r>
  <r>
    <x v="22"/>
    <x v="1"/>
    <x v="6"/>
    <s v="MT/ACB/253"/>
    <s v="04/04/2026"/>
    <s v="X300 5G (12/512GB) MIST BLEU:VIVO:MOBILE"/>
    <n v="1"/>
    <n v="76999"/>
    <n v="0"/>
    <n v="0"/>
    <n v="74662"/>
    <s v="867203085994459"/>
    <n v="2337"/>
  </r>
  <r>
    <x v="22"/>
    <x v="1"/>
    <x v="6"/>
    <s v="MT/ACB/264"/>
    <s v="05/04/2026"/>
    <s v="Y300 5G (8/256GB) EMERALD GREEN:VIVO:MOBILE"/>
    <n v="1"/>
    <n v="21000"/>
    <n v="0"/>
    <n v="0"/>
    <n v="21563"/>
    <s v="864890071589153"/>
    <n v="-563"/>
  </r>
  <r>
    <x v="22"/>
    <x v="1"/>
    <x v="6"/>
    <s v="MT/ACB/276"/>
    <s v="05/04/2026"/>
    <s v="Y11 5G (4/128GB) SUNRISE GOLD:VIVO:MOBILE"/>
    <n v="1"/>
    <n v="15800"/>
    <n v="0"/>
    <n v="0"/>
    <n v="15847"/>
    <s v="864001084381550"/>
    <n v="-47"/>
  </r>
  <r>
    <x v="22"/>
    <x v="1"/>
    <x v="6"/>
    <s v="MT/ACB/374"/>
    <s v="06/04/2026"/>
    <s v="V70 ELITE 5G (12/256GB) PASSION RED:VIVO:MOBILE"/>
    <n v="1"/>
    <n v="52000"/>
    <n v="0"/>
    <n v="0"/>
    <n v="52279"/>
    <s v="864253086260494"/>
    <n v="-279"/>
  </r>
  <r>
    <x v="22"/>
    <x v="1"/>
    <x v="6"/>
    <s v="MT/ACB/424"/>
    <s v="07/04/2026"/>
    <s v="Y11 5G (4/64GB) MIDNIGHT BLUE:VIVO:MOBILE"/>
    <n v="1"/>
    <n v="13946"/>
    <n v="0"/>
    <n v="0"/>
    <n v="14010"/>
    <s v="864001083503394"/>
    <n v="-64"/>
  </r>
  <r>
    <x v="22"/>
    <x v="1"/>
    <x v="6"/>
    <s v="MT/ACB/449"/>
    <s v="07/04/2026"/>
    <s v="V60E 5G (8/256GB) ELITE PURPLE:VIVO:MOBILE"/>
    <n v="1"/>
    <n v="31500"/>
    <n v="0"/>
    <n v="0"/>
    <n v="31431"/>
    <s v="865118083610679"/>
    <n v="69"/>
  </r>
  <r>
    <x v="22"/>
    <x v="1"/>
    <x v="6"/>
    <s v="MT/ACB/456"/>
    <s v="07/04/2026"/>
    <s v="V70 5G (8/256GB) LEMON YELLOW:VIVO:MOBILE"/>
    <n v="1"/>
    <n v="44000"/>
    <n v="0"/>
    <n v="0"/>
    <n v="42253"/>
    <s v="861636081021759"/>
    <n v="1747"/>
  </r>
  <r>
    <x v="22"/>
    <x v="1"/>
    <x v="6"/>
    <s v="MT/ACB/470"/>
    <s v="08/04/2026"/>
    <s v="V70 FE 5G (8/256GB) NORTHERN LIGHTS PURPLE:VIVO:MOBILE"/>
    <n v="1"/>
    <n v="36899"/>
    <n v="0"/>
    <n v="0"/>
    <n v="37663"/>
    <s v="861130088460954"/>
    <n v="-764"/>
  </r>
  <r>
    <x v="22"/>
    <x v="1"/>
    <x v="6"/>
    <s v="MT/ACB/479"/>
    <s v="08/04/2026"/>
    <s v="V70 ELITE 5G (8/256GB) PASSION RED:VIVO:MOBILE"/>
    <n v="1"/>
    <n v="47199"/>
    <n v="0"/>
    <n v="0"/>
    <n v="47689"/>
    <s v="864253087817334"/>
    <n v="-490"/>
  </r>
  <r>
    <x v="22"/>
    <x v="1"/>
    <x v="6"/>
    <s v="MT/ACB/526"/>
    <s v="08/04/2026"/>
    <s v="Y11 5G (4/128GB) SUNRISE GOLD:VIVO:MOBILE"/>
    <n v="1"/>
    <n v="16000"/>
    <n v="0"/>
    <n v="0"/>
    <n v="15847"/>
    <s v="864001086031856"/>
    <n v="153"/>
  </r>
  <r>
    <x v="22"/>
    <x v="1"/>
    <x v="6"/>
    <s v="MT/ACB/539"/>
    <s v="08/04/2026"/>
    <s v="V70 FE 5G (12/256GB) MONSOON BLUE:VIVO:MOBILE"/>
    <n v="1"/>
    <n v="42299"/>
    <n v="0"/>
    <n v="0"/>
    <n v="41355"/>
    <s v="861130088390474"/>
    <n v="944"/>
  </r>
  <r>
    <x v="22"/>
    <x v="1"/>
    <x v="6"/>
    <s v="MT/ACB/577"/>
    <s v="09/04/2026"/>
    <s v="Y400 5G (8/256GB) OLIVE GREEN:VIVO:MOBILE"/>
    <n v="1"/>
    <n v="26000"/>
    <n v="0"/>
    <n v="0"/>
    <n v="25878"/>
    <s v="861570071488977"/>
    <n v="122"/>
  </r>
  <r>
    <x v="22"/>
    <x v="1"/>
    <x v="6"/>
    <s v="MT/ACB/585"/>
    <s v="09/04/2026"/>
    <s v="V70 FE 5G (8/256GB) NORTHERN LIGHTS PURPLE:VIVO:MOBILE"/>
    <n v="1"/>
    <n v="37500"/>
    <n v="0"/>
    <n v="0"/>
    <n v="37663"/>
    <s v="861130088469237"/>
    <n v="-163"/>
  </r>
  <r>
    <x v="22"/>
    <x v="1"/>
    <x v="6"/>
    <s v="MT/ACB/593"/>
    <s v="09/04/2026"/>
    <s v="V70 5G (8/256GB) LEMON YELLOW:VIVO:MOBILE"/>
    <n v="1"/>
    <n v="41600"/>
    <n v="0"/>
    <n v="0"/>
    <n v="42253"/>
    <s v="861636080565053"/>
    <n v="-653"/>
  </r>
  <r>
    <x v="22"/>
    <x v="1"/>
    <x v="6"/>
    <s v="MT/ACB/653"/>
    <s v="10/04/2026"/>
    <s v="V70 5G (8/256GB) PASSION RED:VIVO:MOBILE"/>
    <n v="1"/>
    <n v="42000"/>
    <n v="0"/>
    <n v="0"/>
    <n v="42253"/>
    <s v="861636081257874"/>
    <n v="-253"/>
  </r>
  <r>
    <x v="22"/>
    <x v="1"/>
    <x v="6"/>
    <s v="MT/ACB/668"/>
    <s v="10/04/2026"/>
    <s v="V70 ELITE 5G (12/256GB) AUTHENTIC BLACK:VIVO:MOBILE"/>
    <n v="1"/>
    <n v="53000"/>
    <n v="0"/>
    <n v="0"/>
    <n v="52279"/>
    <s v="864253087572517"/>
    <n v="721"/>
  </r>
  <r>
    <x v="22"/>
    <x v="1"/>
    <x v="6"/>
    <s v="MT/ACB/675"/>
    <s v="10/04/2026"/>
    <s v="V70 FE 5G (8/128GB) MONSOON BLUE:VIVO:MOBILE"/>
    <n v="1"/>
    <n v="35500"/>
    <n v="0"/>
    <n v="0"/>
    <n v="35123"/>
    <s v="861130088300499"/>
    <n v="377"/>
  </r>
  <r>
    <x v="22"/>
    <x v="1"/>
    <x v="6"/>
    <s v="MT/ACB/688"/>
    <s v="11/04/2026"/>
    <s v="Y200 PRO (8/128GB) SILK BLACK:VIVO:MOBILE"/>
    <n v="1"/>
    <n v="23000"/>
    <n v="0"/>
    <n v="0"/>
    <n v="23452"/>
    <s v="863580074298552"/>
    <n v="-452"/>
  </r>
  <r>
    <x v="22"/>
    <x v="1"/>
    <x v="6"/>
    <s v="MT/ACB/728"/>
    <s v="11/04/2026"/>
    <s v="Y200 5G(8/256GB) GREEN:VIVO:MOBILE"/>
    <n v="1"/>
    <n v="20500"/>
    <n v="0"/>
    <n v="0"/>
    <n v="20619"/>
    <s v="868956060492398"/>
    <n v="-119"/>
  </r>
  <r>
    <x v="22"/>
    <x v="1"/>
    <x v="6"/>
    <s v="MT/ACB/733"/>
    <s v="11/04/2026"/>
    <s v="V70 ELITE 5G (8/256GB) SAND BEIGE:VIVO:MOBILE"/>
    <n v="1"/>
    <n v="48000"/>
    <n v="0"/>
    <n v="0"/>
    <n v="47689"/>
    <s v="864253084799774"/>
    <n v="311"/>
  </r>
  <r>
    <x v="22"/>
    <x v="1"/>
    <x v="7"/>
    <s v="MT/ACB/557"/>
    <s v="09/04/2026"/>
    <s v="REDMI NOTE 15 5G (8/256GB) BLACK:XIAOMI:MOBILE"/>
    <n v="1"/>
    <n v="25500"/>
    <n v="0"/>
    <n v="0"/>
    <n v="25861"/>
    <s v="868495078317008"/>
    <n v="-361"/>
  </r>
  <r>
    <x v="23"/>
    <x v="1"/>
    <x v="13"/>
    <s v="MT/ACB/430"/>
    <s v="07/04/2026"/>
    <s v="IT2165C BLACK:ITEL:MOBILE"/>
    <n v="1"/>
    <n v="1300"/>
    <n v="0"/>
    <n v="0"/>
    <n v="903"/>
    <s v="356184711341802"/>
    <n v="397"/>
  </r>
  <r>
    <x v="23"/>
    <x v="1"/>
    <x v="13"/>
    <s v="MT/ACB/566"/>
    <s v="09/04/2026"/>
    <s v="IT5608 NEO BLACK:ITEL:MOBILE"/>
    <n v="1"/>
    <n v="1600"/>
    <n v="0"/>
    <n v="0"/>
    <n v="1159"/>
    <s v="353798601349600"/>
    <n v="441"/>
  </r>
  <r>
    <x v="23"/>
    <x v="1"/>
    <x v="3"/>
    <s v="MT/ACB/243"/>
    <s v="04/04/2026"/>
    <s v="MOTO G35 (4/128GB) LEAF GREEN:MOTOROLA:MOBILE"/>
    <n v="1"/>
    <n v="11700"/>
    <n v="0"/>
    <n v="0"/>
    <n v="11654"/>
    <s v="358557215420214"/>
    <n v="46"/>
  </r>
  <r>
    <x v="23"/>
    <x v="1"/>
    <x v="3"/>
    <s v="MT/ACB/737"/>
    <s v="11/04/2026"/>
    <s v="MOTO G35 (4/128GB) LEAF GREEN:MOTOROLA:MOBILE"/>
    <n v="1"/>
    <n v="12000"/>
    <n v="0"/>
    <n v="0"/>
    <n v="12140"/>
    <s v="358557216174158"/>
    <n v="-140"/>
  </r>
  <r>
    <x v="23"/>
    <x v="1"/>
    <x v="11"/>
    <s v="MT/ACB/284"/>
    <s v="05/04/2026"/>
    <s v="F31 PRO+ 5G (8/256GB) GEMSTONE BLUE:OPPO:MOBILE"/>
    <n v="1"/>
    <n v="30500"/>
    <n v="0"/>
    <n v="0"/>
    <n v="30801"/>
    <s v="866418085823638"/>
    <n v="-301"/>
  </r>
  <r>
    <x v="23"/>
    <x v="1"/>
    <x v="4"/>
    <s v="MT/ACB/164"/>
    <s v="03/04/2026"/>
    <s v="C83 5G (4/64GB) BLOOMING PURPLE:REALME:MOBILE"/>
    <n v="1"/>
    <n v="14080"/>
    <n v="0"/>
    <n v="0"/>
    <n v="13582"/>
    <s v="863074082570970"/>
    <n v="498"/>
  </r>
  <r>
    <x v="23"/>
    <x v="1"/>
    <x v="9"/>
    <s v="MT/ACB/180"/>
    <s v="03/04/2026"/>
    <s v="A266BK(A26 5G-8/128GB) BLACK:SAMSUNG:MOBILE"/>
    <n v="1"/>
    <n v="22500"/>
    <n v="0"/>
    <n v="0"/>
    <n v="22782"/>
    <s v="353201664038327"/>
    <n v="-282"/>
  </r>
  <r>
    <x v="23"/>
    <x v="1"/>
    <x v="5"/>
    <s v="MT/ACB/222"/>
    <s v="04/04/2026"/>
    <s v="SPARK 50 (KN8-6/128GB) FANTASY PURPLE:TECNO:MOBILE"/>
    <n v="1"/>
    <n v="18000"/>
    <n v="0"/>
    <n v="0"/>
    <n v="16806"/>
    <s v="359093760379844"/>
    <n v="1194"/>
  </r>
  <r>
    <x v="23"/>
    <x v="1"/>
    <x v="6"/>
    <s v="MT/ACB/137"/>
    <s v="03/04/2026"/>
    <s v="Y11 5G (4/128GB) SUNRISE GOLD:VIVO:MOBILE"/>
    <n v="1"/>
    <n v="16000"/>
    <n v="0"/>
    <n v="0"/>
    <n v="15847"/>
    <s v="864001084380891"/>
    <n v="153"/>
  </r>
  <r>
    <x v="23"/>
    <x v="1"/>
    <x v="6"/>
    <s v="MT/ACB/200"/>
    <s v="03/04/2026"/>
    <s v="Y31 5G (6/128GB) ROSE RED:VIVO:MOBILE"/>
    <n v="1"/>
    <n v="19500"/>
    <n v="0"/>
    <n v="0"/>
    <n v="19370"/>
    <s v="866150082257060"/>
    <n v="130"/>
  </r>
  <r>
    <x v="23"/>
    <x v="1"/>
    <x v="6"/>
    <s v="MT/ACB/220"/>
    <s v="04/04/2026"/>
    <s v="V70 5G (8/256GB) PASSION RED:VIVO:MOBILE"/>
    <n v="1"/>
    <n v="45427"/>
    <n v="0"/>
    <n v="0"/>
    <n v="42253"/>
    <s v="861636081568775"/>
    <n v="3174"/>
  </r>
  <r>
    <x v="23"/>
    <x v="1"/>
    <x v="6"/>
    <s v="MT/ACB/296"/>
    <s v="05/04/2026"/>
    <s v="Y400 5G (8/128GB) GLAM WHITE:VIVO:MOBILE"/>
    <n v="1"/>
    <n v="25000"/>
    <n v="0"/>
    <n v="0"/>
    <n v="23990"/>
    <s v="866022070964090"/>
    <n v="1010"/>
  </r>
  <r>
    <x v="23"/>
    <x v="1"/>
    <x v="6"/>
    <s v="MT/ACB/335"/>
    <s v="06/04/2026"/>
    <s v="V60E 5G (12/256GB) ELITE PURPLE:VIVO:MOBILE"/>
    <n v="1"/>
    <n v="32500"/>
    <n v="0"/>
    <n v="0"/>
    <n v="33328"/>
    <s v="865426087670890"/>
    <n v="-828"/>
  </r>
  <r>
    <x v="23"/>
    <x v="1"/>
    <x v="6"/>
    <s v="MT/ACB/391"/>
    <s v="06/04/2026"/>
    <s v="X300 5G (12/256GB) SUMMIT RED:VIVO:MOBILE"/>
    <n v="1"/>
    <n v="68500"/>
    <n v="0"/>
    <n v="0"/>
    <n v="69202"/>
    <s v="867203082078173"/>
    <n v="-702"/>
  </r>
  <r>
    <x v="23"/>
    <x v="1"/>
    <x v="6"/>
    <s v="MT/ACB/487"/>
    <s v="08/04/2026"/>
    <s v="V70 FE 5G (8/128GB) MONSOON BLUE:VIVO:MOBILE"/>
    <n v="1"/>
    <n v="34999"/>
    <n v="0"/>
    <n v="0"/>
    <n v="35123"/>
    <s v="861130088299733"/>
    <n v="-124"/>
  </r>
  <r>
    <x v="23"/>
    <x v="1"/>
    <x v="6"/>
    <s v="MT/ACB/512"/>
    <s v="08/04/2026"/>
    <s v="V70 5G (8/256GB) PASSION RED:VIVO:MOBILE"/>
    <n v="1"/>
    <n v="44000"/>
    <n v="0"/>
    <n v="0"/>
    <n v="42253"/>
    <s v="861636080800674"/>
    <n v="1747"/>
  </r>
  <r>
    <x v="23"/>
    <x v="1"/>
    <x v="6"/>
    <s v="MT/ACB/582"/>
    <s v="09/04/2026"/>
    <s v="Y11 5G (4/128GB) SUNRISE GOLD:VIVO:MOBILE"/>
    <n v="1"/>
    <n v="15500"/>
    <n v="0"/>
    <n v="0"/>
    <n v="15847"/>
    <s v="864001083489891"/>
    <n v="-347"/>
  </r>
  <r>
    <x v="23"/>
    <x v="1"/>
    <x v="6"/>
    <s v="MT/ACB/612"/>
    <s v="09/04/2026"/>
    <s v="V70 5G (8/256GB) LEMON YELLOW:VIVO:MOBILE"/>
    <n v="1"/>
    <n v="41000"/>
    <n v="0"/>
    <n v="0"/>
    <n v="42253"/>
    <s v="861636080564478"/>
    <n v="-1253"/>
  </r>
  <r>
    <x v="23"/>
    <x v="1"/>
    <x v="6"/>
    <s v="MT/ACB/636"/>
    <s v="10/04/2026"/>
    <s v="Y400 5G (8/128GB) GLAM WHITE:VIVO:MOBILE"/>
    <n v="1"/>
    <n v="24000"/>
    <n v="0"/>
    <n v="0"/>
    <n v="23990"/>
    <s v="861570070918412"/>
    <n v="10"/>
  </r>
  <r>
    <x v="23"/>
    <x v="1"/>
    <x v="6"/>
    <s v="MT/ACB/641"/>
    <s v="10/04/2026"/>
    <s v="V70 ELITE 5G (8/256GB) AUTHENTIC BLACK:VIVO:MOBILE"/>
    <n v="1"/>
    <n v="48000"/>
    <n v="0"/>
    <n v="0"/>
    <n v="47689"/>
    <s v="864253084287135"/>
    <n v="311"/>
  </r>
  <r>
    <x v="23"/>
    <x v="1"/>
    <x v="6"/>
    <s v="MT/ACB/670"/>
    <s v="10/04/2026"/>
    <s v="V70 ELITE 5G (8/256GB) SAND BEIGE:VIVO:MOBILE"/>
    <n v="1"/>
    <n v="50000"/>
    <n v="0"/>
    <n v="0"/>
    <n v="47689"/>
    <s v="864253084699230"/>
    <n v="2311"/>
  </r>
  <r>
    <x v="23"/>
    <x v="1"/>
    <x v="6"/>
    <s v="MT/ACB/725"/>
    <s v="11/04/2026"/>
    <s v="Y11 5G (4/128GB) SUNRISE GOLD:VIVO:MOBILE"/>
    <n v="1"/>
    <n v="16000"/>
    <n v="0"/>
    <n v="0"/>
    <n v="15847"/>
    <s v="864001084381295"/>
    <n v="153"/>
  </r>
  <r>
    <x v="23"/>
    <x v="1"/>
    <x v="7"/>
    <s v="MT/ACB/327"/>
    <s v="06/04/2026"/>
    <s v="REDMI 15C 5G (4/128GB) MOONLIGHT BLUE:XIAOMI:MOBILE"/>
    <n v="1"/>
    <n v="14000"/>
    <n v="0"/>
    <n v="0"/>
    <n v="14473"/>
    <s v="867738080340406"/>
    <n v="-473"/>
  </r>
  <r>
    <x v="23"/>
    <x v="1"/>
    <x v="6"/>
    <s v="MT/GDRB/22"/>
    <s v="01/04/2026"/>
    <s v="Y11 5G (4/128GB) SUNRISE GOLD:VIVO:MOBILE"/>
    <n v="1"/>
    <n v="15500"/>
    <n v="0"/>
    <n v="0"/>
    <n v="15847"/>
    <s v="864001086257451"/>
    <n v="-347"/>
  </r>
  <r>
    <x v="23"/>
    <x v="1"/>
    <x v="6"/>
    <s v="MT/GDRB/33"/>
    <s v="02/04/2026"/>
    <s v="Y11 5G (4/128GB) SUNRISE GOLD:VIVO:MOBILE"/>
    <n v="1"/>
    <n v="16500"/>
    <n v="0"/>
    <n v="0"/>
    <n v="15847"/>
    <s v="864001084354219"/>
    <n v="653"/>
  </r>
  <r>
    <x v="23"/>
    <x v="1"/>
    <x v="6"/>
    <s v="MT/GDRB/45"/>
    <s v="02/04/2026"/>
    <s v="Y11 5G (4/64GB) MIDNIGHT BLUE:VIVO:MOBILE"/>
    <n v="1"/>
    <n v="13700"/>
    <n v="0"/>
    <n v="0"/>
    <n v="14010"/>
    <s v="864001084552457"/>
    <n v="-310"/>
  </r>
  <r>
    <x v="24"/>
    <x v="0"/>
    <x v="3"/>
    <s v="MT/GDRB/4"/>
    <s v="01/04/2026"/>
    <s v="MOTO G57 (8/128GB) PANTONE REGATTA:MOTOROLA:MOBILE"/>
    <n v="1"/>
    <n v="14700"/>
    <n v="0"/>
    <n v="0"/>
    <n v="14568"/>
    <s v="359006539714596"/>
    <n v="132"/>
  </r>
  <r>
    <x v="24"/>
    <x v="0"/>
    <x v="3"/>
    <s v="MT/GDRB/198"/>
    <s v="08/04/2026"/>
    <s v="MOTO G67 POWER (8/128GB) PARACHUTE:MOTOROLA:MOBILE"/>
    <n v="1"/>
    <n v="16500"/>
    <n v="0"/>
    <n v="0"/>
    <n v="16511"/>
    <s v="356944974358433"/>
    <n v="-11"/>
  </r>
  <r>
    <x v="24"/>
    <x v="0"/>
    <x v="3"/>
    <s v="MT/GDRB/203"/>
    <s v="08/04/2026"/>
    <s v="MOTO G35 (4/128GB) LEAF GREEN:MOTOROLA:MOBILE"/>
    <n v="1"/>
    <n v="12100"/>
    <n v="0"/>
    <n v="0"/>
    <n v="12140"/>
    <s v="358557215742450"/>
    <n v="-40"/>
  </r>
  <r>
    <x v="24"/>
    <x v="0"/>
    <x v="3"/>
    <s v="MT/GDRB/260"/>
    <s v="09/04/2026"/>
    <s v="MOTO G35 (8/128GB) LEAF GREEN:MOTOROLA:MOBILE"/>
    <n v="1"/>
    <n v="13500"/>
    <n v="0"/>
    <n v="0"/>
    <n v="13597"/>
    <s v="358557219909915"/>
    <n v="-97"/>
  </r>
  <r>
    <x v="24"/>
    <x v="0"/>
    <x v="3"/>
    <s v="MT/GDRB/272"/>
    <s v="09/04/2026"/>
    <s v="MOTO G57 (8/128GB) PANTONE CORSAIR:MOTOROLA:MOBILE"/>
    <n v="1"/>
    <n v="15999"/>
    <n v="0"/>
    <n v="0"/>
    <n v="15540"/>
    <s v="357355576672197"/>
    <n v="459"/>
  </r>
  <r>
    <x v="24"/>
    <x v="0"/>
    <x v="1"/>
    <s v="MT/GDRB/252"/>
    <s v="09/04/2026"/>
    <s v="N105(SINGLESIM-TA-1423) CHARCOAL:NOKIA:MOBILE"/>
    <n v="1"/>
    <n v="1200"/>
    <n v="0"/>
    <n v="0"/>
    <n v="1157"/>
    <s v="355295347975325"/>
    <n v="43"/>
  </r>
  <r>
    <x v="24"/>
    <x v="0"/>
    <x v="12"/>
    <s v="MT/GDRB/62"/>
    <s v="03/04/2026"/>
    <s v="PHONE 3A LITE (8/256GB) WHITE:NOTHING:MOBILE"/>
    <n v="1"/>
    <n v="23000"/>
    <n v="0"/>
    <n v="0"/>
    <n v="22784"/>
    <s v="353098850063568"/>
    <n v="216"/>
  </r>
  <r>
    <x v="24"/>
    <x v="0"/>
    <x v="11"/>
    <s v="MT/GDRB/49"/>
    <s v="02/04/2026"/>
    <s v="A6X 5G (4/64GB) ICE BLUE:OPPO:MOBILE"/>
    <n v="1"/>
    <n v="14000"/>
    <n v="0"/>
    <n v="0"/>
    <n v="14232"/>
    <s v="864784086154196"/>
    <n v="-232"/>
  </r>
  <r>
    <x v="24"/>
    <x v="0"/>
    <x v="11"/>
    <s v="MT/GDRB/136"/>
    <s v="06/04/2026"/>
    <s v="RENO 15C 5G (8/256GB) TWILIGHT BLUE:OPPO:MOBILE"/>
    <n v="1"/>
    <n v="34450"/>
    <n v="0"/>
    <n v="0"/>
    <n v="34840"/>
    <s v="864052086003031"/>
    <n v="-390"/>
  </r>
  <r>
    <x v="24"/>
    <x v="0"/>
    <x v="11"/>
    <s v="MT/GDRB/176"/>
    <s v="07/04/2026"/>
    <s v="F31 5G (8/256GB) MIDNIGHT BLUE:OPPO:MOBILE"/>
    <n v="1"/>
    <n v="26500"/>
    <n v="0"/>
    <n v="0"/>
    <n v="26649"/>
    <s v="862080084306058"/>
    <n v="-149"/>
  </r>
  <r>
    <x v="24"/>
    <x v="0"/>
    <x v="11"/>
    <s v="MT/GDRB/207"/>
    <s v="08/04/2026"/>
    <s v="F31 PRO 5G (8/128GB) DESERT GOLD:OPPO:MOBILE"/>
    <n v="1"/>
    <n v="25499"/>
    <n v="0"/>
    <n v="0"/>
    <n v="25729"/>
    <s v="865761076229559"/>
    <n v="-230"/>
  </r>
  <r>
    <x v="24"/>
    <x v="0"/>
    <x v="11"/>
    <s v="MT/GDRB/225"/>
    <s v="08/04/2026"/>
    <s v="A5 PRO 5G (8/128GB) MOCHA BROWN:OPPO:MOBILE"/>
    <n v="1"/>
    <n v="18000"/>
    <n v="0"/>
    <n v="0"/>
    <n v="17969"/>
    <s v="860960079464396"/>
    <n v="31"/>
  </r>
  <r>
    <x v="24"/>
    <x v="0"/>
    <x v="11"/>
    <s v="MT/GDRB/232"/>
    <s v="08/04/2026"/>
    <s v="A5 5G (8/128GB) MIST WHITE:OPPO:MOBILE"/>
    <n v="1"/>
    <n v="17700"/>
    <n v="0"/>
    <n v="0"/>
    <n v="17023"/>
    <s v="862464074514337"/>
    <n v="677"/>
  </r>
  <r>
    <x v="24"/>
    <x v="0"/>
    <x v="6"/>
    <s v="MT/GDRB/11"/>
    <s v="01/04/2026"/>
    <s v="Y400 5G (8/128GB) OLIVE GREEN:VIVO:MOBILE"/>
    <n v="1"/>
    <n v="24500"/>
    <n v="0"/>
    <n v="0"/>
    <n v="23990"/>
    <s v="868526074597555"/>
    <n v="510"/>
  </r>
  <r>
    <x v="24"/>
    <x v="0"/>
    <x v="6"/>
    <s v="MT/GDRB/46"/>
    <s v="02/04/2026"/>
    <s v="T5X 5G (6/128GB) STAR SILVER:VIVO:MOBILE"/>
    <n v="1"/>
    <n v="18800"/>
    <n v="0"/>
    <n v="0"/>
    <n v="18320"/>
    <s v="863204088517630"/>
    <n v="480"/>
  </r>
  <r>
    <x v="25"/>
    <x v="1"/>
    <x v="8"/>
    <s v="MT/ACB/162"/>
    <s v="03/04/2026"/>
    <s v="IPHONE 17 PRO(256GB) SILVER:APPLE:MOBILE"/>
    <n v="1"/>
    <n v="129500"/>
    <n v="0"/>
    <n v="0"/>
    <n v="130826"/>
    <s v="355159676017705"/>
    <n v="-1326"/>
  </r>
  <r>
    <x v="25"/>
    <x v="1"/>
    <x v="8"/>
    <s v="MT/ACB/307"/>
    <s v="05/04/2026"/>
    <s v="11-inch iPad Wi-Fi 128GB - Silver:APPLE:TABLETS &amp; IPAD"/>
    <n v="1"/>
    <n v="34900"/>
    <n v="0"/>
    <n v="0"/>
    <n v="33846"/>
    <s v="SC7VQCFYHXW"/>
    <n v="1054"/>
  </r>
  <r>
    <x v="25"/>
    <x v="1"/>
    <x v="8"/>
    <s v="MT/ACB/731"/>
    <s v="11/04/2026"/>
    <s v="IPHONE 17(256GB) LAVENDER:APPLE:MOBILE"/>
    <n v="1"/>
    <n v="80000"/>
    <n v="0"/>
    <n v="0"/>
    <n v="80397"/>
    <s v="357915799272636"/>
    <n v="-397"/>
  </r>
  <r>
    <x v="25"/>
    <x v="1"/>
    <x v="3"/>
    <s v="MT/ACB/278"/>
    <s v="05/04/2026"/>
    <s v="MOTO G57 (8/128GB) PANTONE FLUIDITY:MOTOROLA:MOBILE"/>
    <n v="1"/>
    <n v="14400"/>
    <n v="0"/>
    <n v="0"/>
    <n v="14568"/>
    <s v="357355572906516"/>
    <n v="-168"/>
  </r>
  <r>
    <x v="25"/>
    <x v="1"/>
    <x v="3"/>
    <s v="MT/ACB/376"/>
    <s v="06/04/2026"/>
    <s v="MOTO G57 (8/128GB) PANTONE FLUIDITY:MOTOROLA:MOBILE"/>
    <n v="1"/>
    <n v="14400"/>
    <n v="0"/>
    <n v="0"/>
    <n v="14568"/>
    <s v="357355572918578"/>
    <n v="-168"/>
  </r>
  <r>
    <x v="25"/>
    <x v="1"/>
    <x v="3"/>
    <s v="MT/ACB/648"/>
    <s v="10/04/2026"/>
    <s v="MOTO G57 (8/128GB) PANTONE CORSAIR:MOTOROLA:MOBILE"/>
    <n v="1"/>
    <n v="15400"/>
    <n v="0"/>
    <n v="0"/>
    <n v="15540"/>
    <s v="357355576673393"/>
    <n v="-140"/>
  </r>
  <r>
    <x v="25"/>
    <x v="1"/>
    <x v="1"/>
    <s v="MT/ACB/146"/>
    <s v="03/04/2026"/>
    <s v="N220(DUALSIM-4G-TA-1617) BLACK:NOKIA:MOBILE"/>
    <n v="1"/>
    <n v="3400"/>
    <n v="0"/>
    <n v="0"/>
    <n v="3324"/>
    <s v="355211940929759"/>
    <n v="76"/>
  </r>
  <r>
    <x v="25"/>
    <x v="1"/>
    <x v="11"/>
    <s v="MT/ACB/50"/>
    <s v="01/04/2026"/>
    <s v="A6 5G (6/128GB) ICE WHITE:OPPO:MOBILE"/>
    <n v="1"/>
    <n v="20699"/>
    <n v="0"/>
    <n v="0"/>
    <n v="20580"/>
    <s v="862869085917313"/>
    <n v="119"/>
  </r>
  <r>
    <x v="25"/>
    <x v="1"/>
    <x v="11"/>
    <s v="MT/ACB/118"/>
    <s v="02/04/2026"/>
    <s v="A6X 5G (4/128GB) ICE BLUE:OPPO:MOBILE"/>
    <n v="1"/>
    <n v="16300"/>
    <n v="0"/>
    <n v="0"/>
    <n v="16130"/>
    <s v="864784085981110"/>
    <n v="170"/>
  </r>
  <r>
    <x v="25"/>
    <x v="1"/>
    <x v="4"/>
    <s v="MT/ACB/75"/>
    <s v="01/04/2026"/>
    <s v="15T 5G (8/128GB) SILK BLUE:REALME:MOBILE"/>
    <n v="1"/>
    <n v="22999"/>
    <n v="0"/>
    <n v="0"/>
    <n v="24625"/>
    <s v="868088083594917"/>
    <n v="-1626"/>
  </r>
  <r>
    <x v="25"/>
    <x v="1"/>
    <x v="4"/>
    <s v="MT/ACB/9"/>
    <s v="01/04/2026"/>
    <s v="15 5G (8/128GB) VELVET GREEN:REALME:MOBILE"/>
    <n v="1"/>
    <n v="27500"/>
    <n v="0"/>
    <n v="0"/>
    <n v="27362"/>
    <s v="867624075394998"/>
    <n v="138"/>
  </r>
  <r>
    <x v="25"/>
    <x v="1"/>
    <x v="4"/>
    <s v="MT/ACB/166"/>
    <s v="03/04/2026"/>
    <s v="C85 5G (4/128GB) PARROT PURPLE:REALME:MOBILE"/>
    <n v="1"/>
    <n v="16499"/>
    <n v="0"/>
    <n v="0"/>
    <n v="18734"/>
    <s v="869746085856118"/>
    <n v="-2235"/>
  </r>
  <r>
    <x v="25"/>
    <x v="1"/>
    <x v="4"/>
    <s v="MT/ACB/230"/>
    <s v="04/04/2026"/>
    <s v="C85 5G (4/128GB) PARROT PURPLE:REALME:MOBILE"/>
    <n v="1"/>
    <n v="16499"/>
    <n v="0"/>
    <n v="0"/>
    <n v="18734"/>
    <s v="869746085861993"/>
    <n v="-2235"/>
  </r>
  <r>
    <x v="25"/>
    <x v="1"/>
    <x v="4"/>
    <s v="MT/ACB/293"/>
    <s v="05/04/2026"/>
    <s v="C71 (4/64GB) SEA BLUE:REALME:MOBILE"/>
    <n v="1"/>
    <n v="9000"/>
    <n v="0"/>
    <n v="0"/>
    <n v="10303"/>
    <s v="861950081551792"/>
    <n v="-1303"/>
  </r>
  <r>
    <x v="25"/>
    <x v="1"/>
    <x v="4"/>
    <s v="MT/ACB/358"/>
    <s v="06/04/2026"/>
    <s v="C85 5G (6/128GB) PARROT PURPLE:REALME:MOBILE"/>
    <n v="1"/>
    <n v="17500"/>
    <n v="0"/>
    <n v="0"/>
    <n v="20246"/>
    <s v="865420081338836"/>
    <n v="-2746"/>
  </r>
  <r>
    <x v="25"/>
    <x v="1"/>
    <x v="4"/>
    <s v="MT/ACB/495"/>
    <s v="08/04/2026"/>
    <s v="C85 5G (4/128GB) PARROT PURPLE:REALME:MOBILE"/>
    <n v="1"/>
    <n v="16499"/>
    <n v="0"/>
    <n v="0"/>
    <n v="18734"/>
    <s v="869746085864096"/>
    <n v="-2235"/>
  </r>
  <r>
    <x v="25"/>
    <x v="1"/>
    <x v="4"/>
    <s v="MT/ACB/531"/>
    <s v="08/04/2026"/>
    <s v="15X 5G (6/128GB) MARINE BLUE:REALME:MOBILE"/>
    <n v="1"/>
    <n v="18999"/>
    <n v="0"/>
    <n v="0"/>
    <n v="20977"/>
    <s v="863055080699911"/>
    <n v="-1978"/>
  </r>
  <r>
    <x v="25"/>
    <x v="1"/>
    <x v="4"/>
    <s v="MT/ACB/532"/>
    <s v="08/04/2026"/>
    <s v="15X 5G (6/128GB) MARINE BLUE:REALME:MOBILE"/>
    <n v="1"/>
    <n v="18999"/>
    <n v="0"/>
    <n v="0"/>
    <n v="20977"/>
    <s v="863923087890116"/>
    <n v="-1978"/>
  </r>
  <r>
    <x v="25"/>
    <x v="1"/>
    <x v="4"/>
    <s v="MT/ACB/534"/>
    <s v="08/04/2026"/>
    <s v="15X 5G (6/128GB) MARINE BLUE:REALME:MOBILE"/>
    <n v="1"/>
    <n v="18999"/>
    <n v="0"/>
    <n v="0"/>
    <n v="20977"/>
    <s v="863055080750433"/>
    <n v="-1978"/>
  </r>
  <r>
    <x v="25"/>
    <x v="1"/>
    <x v="4"/>
    <s v="MT/ACB/555"/>
    <s v="09/04/2026"/>
    <s v="15X 5G (6/128GB) MARINE BLUE:REALME:MOBILE"/>
    <n v="1"/>
    <n v="18999"/>
    <n v="0"/>
    <n v="0"/>
    <n v="20977"/>
    <s v="863923087912670"/>
    <n v="-1978"/>
  </r>
  <r>
    <x v="25"/>
    <x v="1"/>
    <x v="4"/>
    <s v="MT/ACB/732"/>
    <s v="11/04/2026"/>
    <s v="16 PRO 5G (8/256GB) MASTER GOLD:REALME:MOBILE"/>
    <n v="1"/>
    <n v="34000"/>
    <n v="0"/>
    <n v="0"/>
    <n v="34658"/>
    <s v="869883083116615"/>
    <n v="-658"/>
  </r>
  <r>
    <x v="25"/>
    <x v="1"/>
    <x v="9"/>
    <s v="MT/ACB/21"/>
    <s v="01/04/2026"/>
    <s v="A376EG(A37 5G-8/256GB) CHARCOAL:SAMSUNG:MOBILE"/>
    <n v="1"/>
    <n v="42500"/>
    <n v="0"/>
    <n v="0"/>
    <n v="42564"/>
    <s v="353525200264025"/>
    <n v="-64"/>
  </r>
  <r>
    <x v="25"/>
    <x v="1"/>
    <x v="9"/>
    <s v="MT/ACB/170"/>
    <s v="03/04/2026"/>
    <s v="E176BB(F17 5G-6/128GB) NEO BLACK:SAMSUNG:MOBILE"/>
    <n v="1"/>
    <n v="17200"/>
    <n v="0"/>
    <n v="0"/>
    <n v="17834"/>
    <s v="352822576488069"/>
    <n v="-634"/>
  </r>
  <r>
    <x v="25"/>
    <x v="1"/>
    <x v="9"/>
    <s v="MT/ACB/181"/>
    <s v="03/04/2026"/>
    <s v="A176NL(A17 5G-6/128GB) W/O TA BLUE:SAMSUNG:MOBILE"/>
    <n v="1"/>
    <n v="18500"/>
    <n v="0"/>
    <n v="0"/>
    <n v="18502"/>
    <s v="355299983133595"/>
    <n v="-2"/>
  </r>
  <r>
    <x v="25"/>
    <x v="1"/>
    <x v="9"/>
    <s v="MT/ACB/713"/>
    <s v="11/04/2026"/>
    <s v="S942BC(S26-12/256GB) BLACK:SAMSUNG:MOBILE"/>
    <n v="1"/>
    <n v="80000"/>
    <n v="0"/>
    <n v="0"/>
    <n v="82751.31"/>
    <s v="351690534804003"/>
    <n v="-2751.31"/>
  </r>
  <r>
    <x v="25"/>
    <x v="1"/>
    <x v="9"/>
    <s v="MT/ACB/734"/>
    <s v="11/04/2026"/>
    <s v="A075FD(A07 4G-4/64GB) LIGHT VIOLET:SAMSUNG:MOBILE"/>
    <n v="1"/>
    <n v="9800"/>
    <n v="0"/>
    <n v="0"/>
    <n v="10324"/>
    <s v="354372910503734"/>
    <n v="-524"/>
  </r>
  <r>
    <x v="25"/>
    <x v="1"/>
    <x v="5"/>
    <s v="MT/ACB/87"/>
    <s v="02/04/2026"/>
    <s v="SPARK-10 (KI5Q-8/128GB) MAGSKIN ORANGE:TECNO:MOBILE"/>
    <n v="1"/>
    <n v="8620"/>
    <n v="0"/>
    <n v="0"/>
    <n v="8570"/>
    <s v="359749531611324"/>
    <n v="50"/>
  </r>
  <r>
    <x v="25"/>
    <x v="1"/>
    <x v="5"/>
    <s v="MT/ACB/199"/>
    <s v="03/04/2026"/>
    <s v="SPARK GO 3(KN3-4/64GB) BLACK:TECNO:MOBILE"/>
    <n v="1"/>
    <n v="8200"/>
    <n v="0"/>
    <n v="0"/>
    <n v="9051"/>
    <s v="355463920147098"/>
    <n v="-851"/>
  </r>
  <r>
    <x v="25"/>
    <x v="1"/>
    <x v="5"/>
    <s v="MT/ACB/199"/>
    <s v="03/04/2026"/>
    <s v="SPARK GO 3(KN3-4/64GB) BLACK:TECNO:MOBILE"/>
    <n v="1"/>
    <n v="8200"/>
    <n v="0"/>
    <n v="0"/>
    <n v="9051"/>
    <s v="355463920148666"/>
    <n v="-851"/>
  </r>
  <r>
    <x v="25"/>
    <x v="1"/>
    <x v="5"/>
    <s v="MT/ACB/199"/>
    <s v="03/04/2026"/>
    <s v="SPARK GO 3(KN3-4/64GB) BLUE:TECNO:MOBILE"/>
    <n v="1"/>
    <n v="8200"/>
    <n v="0"/>
    <n v="0"/>
    <n v="9051"/>
    <s v="355463920637346"/>
    <n v="-851"/>
  </r>
  <r>
    <x v="25"/>
    <x v="1"/>
    <x v="5"/>
    <s v="MT/ACB/199"/>
    <s v="03/04/2026"/>
    <s v="SPARK GO 3(KN3-4/64GB) BLUE:TECNO:MOBILE"/>
    <n v="1"/>
    <n v="8200"/>
    <n v="0"/>
    <n v="0"/>
    <n v="9051"/>
    <s v="355463920710309"/>
    <n v="-851"/>
  </r>
  <r>
    <x v="25"/>
    <x v="1"/>
    <x v="5"/>
    <s v="MT/ACB/199"/>
    <s v="03/04/2026"/>
    <s v="SPARK GO 3(KN3-4/64GB) TITANIUM GREY:TECNO:MOBILE"/>
    <n v="1"/>
    <n v="8200"/>
    <n v="0"/>
    <n v="0"/>
    <n v="9051"/>
    <s v="355463920454643"/>
    <n v="-851"/>
  </r>
  <r>
    <x v="25"/>
    <x v="1"/>
    <x v="6"/>
    <s v="MT/ACB/103"/>
    <s v="02/04/2026"/>
    <s v="X300 5G (12/256GB) MIST BLUE:VIVO:MOBILE"/>
    <n v="1"/>
    <n v="68000"/>
    <n v="0"/>
    <n v="0"/>
    <n v="69202"/>
    <s v="867203082001670"/>
    <n v="-1202"/>
  </r>
  <r>
    <x v="25"/>
    <x v="1"/>
    <x v="6"/>
    <s v="MT/ACB/128"/>
    <s v="02/04/2026"/>
    <s v="V60E 5G (8/128GB) ELITE PURPLE:VIVO:MOBILE"/>
    <n v="1"/>
    <n v="29000"/>
    <n v="0"/>
    <n v="0"/>
    <n v="29585"/>
    <s v="865932082075332"/>
    <n v="-585"/>
  </r>
  <r>
    <x v="25"/>
    <x v="1"/>
    <x v="6"/>
    <s v="MT/ACB/248"/>
    <s v="04/04/2026"/>
    <s v="V70 ELITE 5G (12/256GB) PASSION RED:VIVO:MOBILE"/>
    <n v="1"/>
    <n v="50999"/>
    <n v="0"/>
    <n v="0"/>
    <n v="52279"/>
    <s v="864253086259918"/>
    <n v="-1280"/>
  </r>
  <r>
    <x v="25"/>
    <x v="1"/>
    <x v="6"/>
    <s v="MT/ACB/628"/>
    <s v="10/04/2026"/>
    <s v="X300 PRO 5G (16/512GB) DUNE GOLD:VIVO:MOBILE"/>
    <n v="1"/>
    <n v="98000"/>
    <n v="0"/>
    <n v="0"/>
    <n v="100180"/>
    <s v="862492085673453"/>
    <n v="-2180"/>
  </r>
  <r>
    <x v="25"/>
    <x v="1"/>
    <x v="6"/>
    <s v="MT/ACB/657"/>
    <s v="10/04/2026"/>
    <s v="Y11 5G (4/64GB) SUNRISE GOLD:VIVO:MOBILE"/>
    <n v="1"/>
    <n v="13700"/>
    <n v="0"/>
    <n v="0"/>
    <n v="14010"/>
    <s v="864001082252779"/>
    <n v="-310"/>
  </r>
  <r>
    <x v="25"/>
    <x v="1"/>
    <x v="6"/>
    <s v="MT/ACB/729"/>
    <s v="11/04/2026"/>
    <s v="Y31 5G (6/128GB) ROSE RED:VIVO:MOBILE"/>
    <n v="1"/>
    <n v="18800"/>
    <n v="0"/>
    <n v="0"/>
    <n v="19370"/>
    <s v="860125088381854"/>
    <n v="-570"/>
  </r>
  <r>
    <x v="25"/>
    <x v="1"/>
    <x v="7"/>
    <s v="MT/ACB/723"/>
    <s v="11/04/2026"/>
    <s v="XIAOMI PAD 7 (8/128GB) GRAPHITE GREY:XIAOMI:TABLETS &amp; IPAD"/>
    <n v="1"/>
    <n v="27300"/>
    <n v="0"/>
    <n v="0"/>
    <n v="27521"/>
    <s v="61325X5US00835"/>
    <n v="-221"/>
  </r>
  <r>
    <x v="25"/>
    <x v="0"/>
    <x v="13"/>
    <s v="MT/GDRB/113"/>
    <s v="05/04/2026"/>
    <s v="A100 (A6611L-4/64GB) PURE BLACK:ITEL:MOBILE"/>
    <n v="1"/>
    <n v="7800"/>
    <n v="0"/>
    <n v="0"/>
    <n v="8049"/>
    <s v="357512821596551"/>
    <n v="-249"/>
  </r>
  <r>
    <x v="25"/>
    <x v="0"/>
    <x v="3"/>
    <s v="MT/GDRB/82"/>
    <s v="03/04/2026"/>
    <s v="MOTO G35 (4/128GB) MIDNIGHT BLACK:MOTOROLA:MOBILE"/>
    <n v="1"/>
    <n v="11400"/>
    <n v="0"/>
    <n v="0"/>
    <n v="11654"/>
    <s v="358557213817353"/>
    <n v="-254"/>
  </r>
  <r>
    <x v="25"/>
    <x v="0"/>
    <x v="3"/>
    <s v="MT/GDRB/219"/>
    <s v="08/04/2026"/>
    <s v="MOTO G35 (4/128GB) MIDNIGHT BLACK:MOTOROLA:MOBILE"/>
    <n v="1"/>
    <n v="11800"/>
    <n v="0"/>
    <n v="0"/>
    <n v="12140"/>
    <s v="358557213647933"/>
    <n v="-340"/>
  </r>
  <r>
    <x v="25"/>
    <x v="0"/>
    <x v="11"/>
    <s v="MT/GDRB/48"/>
    <s v="02/04/2026"/>
    <s v="A6X 5G (4/128GB) OLIVE GREEN:OPPO:MOBILE"/>
    <n v="1"/>
    <n v="15600"/>
    <n v="0"/>
    <n v="0"/>
    <n v="16130"/>
    <s v="867932087559650"/>
    <n v="-530"/>
  </r>
  <r>
    <x v="25"/>
    <x v="0"/>
    <x v="11"/>
    <s v="MT/GDRB/263"/>
    <s v="09/04/2026"/>
    <s v="F31 5G (8/256GB) MIDNIGHT BLUE:OPPO:MOBILE"/>
    <n v="1"/>
    <n v="26000"/>
    <n v="0"/>
    <n v="0"/>
    <n v="26649"/>
    <s v="862080084306116"/>
    <n v="-649"/>
  </r>
  <r>
    <x v="25"/>
    <x v="0"/>
    <x v="4"/>
    <s v="MT/GDRB/55"/>
    <s v="02/04/2026"/>
    <s v="(DEMO)14 PRO 5G (8/128GB):REALME:DEMO"/>
    <n v="1"/>
    <n v="15000"/>
    <n v="0"/>
    <n v="0"/>
    <n v="12512"/>
    <s v="861491072660813"/>
    <n v="2488"/>
  </r>
  <r>
    <x v="25"/>
    <x v="0"/>
    <x v="4"/>
    <s v="MT/GDRB/103"/>
    <s v="04/04/2026"/>
    <s v="GT 7T (8/256GB) ICESENSE BLACK:REALME:MOBILE"/>
    <n v="1"/>
    <n v="37500"/>
    <n v="0"/>
    <n v="0"/>
    <n v="36975"/>
    <s v="869611072691912"/>
    <n v="525"/>
  </r>
  <r>
    <x v="25"/>
    <x v="0"/>
    <x v="4"/>
    <s v="MT/GDRB/173"/>
    <s v="07/04/2026"/>
    <s v="C83 5G (4/128GB) BLOOMING PURPLE:REALME:MOBILE(T.VALUE)"/>
    <n v="1"/>
    <n v="15000"/>
    <n v="0"/>
    <n v="0"/>
    <n v="14175"/>
    <s v="863074083554031"/>
    <n v="825"/>
  </r>
  <r>
    <x v="25"/>
    <x v="0"/>
    <x v="4"/>
    <s v="MT/GDRB/177"/>
    <s v="07/04/2026"/>
    <s v="C83 5G (4/128GB) SPROUTING GREEN:REALME:MOBILE(T.VALUE)"/>
    <n v="1"/>
    <n v="14800"/>
    <n v="0"/>
    <n v="0"/>
    <n v="14175"/>
    <s v="860543080342213"/>
    <n v="625"/>
  </r>
  <r>
    <x v="25"/>
    <x v="0"/>
    <x v="4"/>
    <s v="MT/GDRB/196"/>
    <s v="08/04/2026"/>
    <s v="C83 5G (4/128GB) BLOOMING PURPLE:REALME:MOBILE(T.VALUE)"/>
    <n v="1"/>
    <n v="14000"/>
    <n v="0"/>
    <n v="0"/>
    <n v="14175"/>
    <s v="863074083580515"/>
    <n v="-175"/>
  </r>
  <r>
    <x v="25"/>
    <x v="0"/>
    <x v="4"/>
    <s v="MT/GDRB/300"/>
    <s v="10/04/2026"/>
    <s v="C83 5G (4/128GB) SPROUTING GREEN:REALME:MOBILE(T.VALUE)"/>
    <n v="1"/>
    <n v="13700"/>
    <n v="0"/>
    <n v="0"/>
    <n v="14175"/>
    <s v="860543080403759"/>
    <n v="-475"/>
  </r>
  <r>
    <x v="25"/>
    <x v="0"/>
    <x v="4"/>
    <s v="MT/GDRB/331"/>
    <s v="11/04/2026"/>
    <s v="16 5G (8/256GB) AIR WHITE:REALME:MOBILE"/>
    <n v="1"/>
    <n v="30500"/>
    <n v="0"/>
    <n v="0"/>
    <n v="31010"/>
    <s v="866389084234673"/>
    <n v="-510"/>
  </r>
  <r>
    <x v="25"/>
    <x v="0"/>
    <x v="9"/>
    <s v="MT/GDRB/74"/>
    <s v="03/04/2026"/>
    <s v="S938BB(S25 ULTRA-12/256GB) TITANIUM SILVERBLUE:SAMSUNG:MOBILE"/>
    <n v="1"/>
    <n v="109000"/>
    <n v="0"/>
    <n v="0"/>
    <n v="113189"/>
    <s v="352901549510702"/>
    <n v="-4189"/>
  </r>
  <r>
    <x v="25"/>
    <x v="0"/>
    <x v="9"/>
    <s v="MT/GDRB/106"/>
    <s v="04/04/2026"/>
    <s v="A266BK(A26 5G-8/128GB) MINT:SAMSUNG:MOBILE"/>
    <n v="1"/>
    <n v="22000"/>
    <n v="0"/>
    <n v="0"/>
    <n v="22782"/>
    <s v="353201663293121"/>
    <n v="-782"/>
  </r>
  <r>
    <x v="25"/>
    <x v="0"/>
    <x v="9"/>
    <s v="MT/GDRB/137"/>
    <s v="06/04/2026"/>
    <s v="A176NL(A17 5G-6/128GB) W/O TA BLUE:SAMSUNG:MOBILE"/>
    <n v="1"/>
    <n v="18000"/>
    <n v="0"/>
    <n v="0"/>
    <n v="18502"/>
    <s v="355299981552846"/>
    <n v="-502"/>
  </r>
  <r>
    <x v="25"/>
    <x v="0"/>
    <x v="9"/>
    <s v="MT/GDRB/221"/>
    <s v="08/04/2026"/>
    <s v="A366EK(A36 5G-8/256GB) AWESOME LAVENDER:SAMSUNG:MOBILE"/>
    <n v="1"/>
    <n v="32500"/>
    <n v="0"/>
    <n v="0"/>
    <n v="32942"/>
    <s v="356258195603364"/>
    <n v="-442"/>
  </r>
  <r>
    <x v="25"/>
    <x v="0"/>
    <x v="9"/>
    <s v="MT/GDRB/292"/>
    <s v="10/04/2026"/>
    <s v="A176NL(A17 5G-6/128GB) W/O TA GRAY:SAMSUNG:MOBILE"/>
    <n v="1"/>
    <n v="19500"/>
    <n v="0"/>
    <n v="0"/>
    <n v="19404"/>
    <s v="355299983789503"/>
    <n v="96"/>
  </r>
  <r>
    <x v="25"/>
    <x v="0"/>
    <x v="9"/>
    <s v="MT/GDRB/292"/>
    <s v="10/04/2026"/>
    <s v="A176NM(A17 5G-8/128GB) W/O TA BLACK:SAMSUNG:MOBILE"/>
    <n v="1"/>
    <n v="21000"/>
    <n v="0"/>
    <n v="0"/>
    <n v="21209"/>
    <s v="356137748486669"/>
    <n v="-209"/>
  </r>
  <r>
    <x v="25"/>
    <x v="0"/>
    <x v="9"/>
    <s v="MT/GDRB/292"/>
    <s v="10/04/2026"/>
    <s v="A176NM(A17 5G-8/128GB) W/O TA GRAY:SAMSUNG:MOBILE"/>
    <n v="1"/>
    <n v="21000"/>
    <n v="0"/>
    <n v="0"/>
    <n v="21209"/>
    <s v="356137748011038"/>
    <n v="-209"/>
  </r>
  <r>
    <x v="25"/>
    <x v="0"/>
    <x v="9"/>
    <s v="MT/GDRB/292"/>
    <s v="10/04/2026"/>
    <s v="A176NN(A17 5G-8/256GB) W/O TA GRAY:SAMSUNG:MOBILE"/>
    <n v="1"/>
    <n v="25000"/>
    <n v="0"/>
    <n v="0"/>
    <n v="25271"/>
    <s v="350037992269348"/>
    <n v="-271"/>
  </r>
  <r>
    <x v="25"/>
    <x v="0"/>
    <x v="6"/>
    <s v="MT/GDRB/31"/>
    <s v="01/04/2026"/>
    <s v="Y11 5G (4/64GB) MIDNIGHT BLUE:VIVO:MOBILE"/>
    <n v="1"/>
    <n v="13800"/>
    <n v="0"/>
    <n v="0"/>
    <n v="14010"/>
    <s v="864001088152296"/>
    <n v="-210"/>
  </r>
  <r>
    <x v="25"/>
    <x v="0"/>
    <x v="6"/>
    <s v="MT/GDRB/147"/>
    <s v="06/04/2026"/>
    <s v="Y11 5G (4/128GB) MIDNIGHT BLUE:VIVO:MOBILE"/>
    <n v="1"/>
    <n v="15500"/>
    <n v="0"/>
    <n v="0"/>
    <n v="15847"/>
    <s v="864001085097932"/>
    <n v="-347"/>
  </r>
  <r>
    <x v="25"/>
    <x v="0"/>
    <x v="6"/>
    <s v="MT/GDRB/153"/>
    <s v="06/04/2026"/>
    <s v="Y19E (4/64GB) TITANIUM SILVER:VIVO:MOBILE"/>
    <n v="1"/>
    <n v="9000"/>
    <n v="0"/>
    <n v="0"/>
    <n v="9439"/>
    <s v="868237074827766"/>
    <n v="-439"/>
  </r>
  <r>
    <x v="25"/>
    <x v="0"/>
    <x v="6"/>
    <s v="MT/GDRB/153"/>
    <s v="06/04/2026"/>
    <s v="Y19E (4/64GB) TITANIUM SILVER:VIVO:MOBILE"/>
    <n v="1"/>
    <n v="9000"/>
    <n v="0"/>
    <n v="0"/>
    <n v="9439"/>
    <s v="868237075944404"/>
    <n v="-439"/>
  </r>
  <r>
    <x v="25"/>
    <x v="0"/>
    <x v="6"/>
    <s v="MT/GDRB/193"/>
    <s v="08/04/2026"/>
    <s v="Y51 PRO 5G (8/256GB) NOBLE GOLD:VIVO:MOBILE"/>
    <n v="1"/>
    <n v="25000"/>
    <n v="0"/>
    <n v="0"/>
    <n v="25878"/>
    <s v="864155086058051"/>
    <n v="-878"/>
  </r>
  <r>
    <x v="25"/>
    <x v="0"/>
    <x v="7"/>
    <s v="MT/GDRB/59"/>
    <s v="03/04/2026"/>
    <s v="REDMI 15A 5G (4/128GB) ACE BLACK:XIAOMI:MOBILE"/>
    <n v="1"/>
    <n v="13500"/>
    <n v="0"/>
    <n v="0"/>
    <n v="13539"/>
    <s v="866938083168546"/>
    <n v="-39"/>
  </r>
  <r>
    <x v="25"/>
    <x v="0"/>
    <x v="7"/>
    <s v="MT/GDRB/59"/>
    <s v="03/04/2026"/>
    <s v="REDMI 15A 5G (4/128GB) AWESOME BLUE:XIAOMI:MOBILE"/>
    <n v="1"/>
    <n v="13500"/>
    <n v="0"/>
    <n v="0"/>
    <n v="13539"/>
    <s v="866938081769386"/>
    <n v="-39"/>
  </r>
  <r>
    <x v="25"/>
    <x v="0"/>
    <x v="7"/>
    <s v="MT/GDRB/59"/>
    <s v="03/04/2026"/>
    <s v="REDMI 15A 5G (4/128GB) AWESOME BLUE:XIAOMI:MOBILE"/>
    <n v="1"/>
    <n v="13500"/>
    <n v="0"/>
    <n v="0"/>
    <n v="13539"/>
    <s v="866938081833760"/>
    <n v="-39"/>
  </r>
  <r>
    <x v="25"/>
    <x v="0"/>
    <x v="7"/>
    <s v="MT/GDRB/59"/>
    <s v="03/04/2026"/>
    <s v="REDMI 15A 5G (4/128GB) AWESOME BLUE:XIAOMI:MOBILE"/>
    <n v="1"/>
    <n v="13500"/>
    <n v="0"/>
    <n v="0"/>
    <n v="13539"/>
    <s v="866938081858106"/>
    <n v="-39"/>
  </r>
  <r>
    <x v="25"/>
    <x v="0"/>
    <x v="7"/>
    <s v="MT/GDRB/206"/>
    <s v="08/04/2026"/>
    <s v="REDMI 15 5G (6/128GB) MIDNIGHT BLACK:XIAOMI:MOBILE"/>
    <n v="1"/>
    <n v="16800"/>
    <n v="0"/>
    <n v="0"/>
    <n v="17274"/>
    <s v="866374074396005"/>
    <n v="-474"/>
  </r>
  <r>
    <x v="25"/>
    <x v="2"/>
    <x v="11"/>
    <s v="MT/SRB/248"/>
    <s v="09/04/2026"/>
    <s v="A6X 5G (4/64GB) OLIVE GREEN:OPPO:MOBILE"/>
    <n v="1"/>
    <n v="15500"/>
    <n v="0"/>
    <n v="0"/>
    <n v="16130"/>
    <s v="869556081084692"/>
    <n v="-630"/>
  </r>
  <r>
    <x v="25"/>
    <x v="2"/>
    <x v="6"/>
    <s v="MT/SRB/179"/>
    <s v="07/04/2026"/>
    <s v="V70 5G (8/256GB) LEMON YELLOW:VIVO:MOBILE"/>
    <n v="1"/>
    <n v="41999"/>
    <n v="0"/>
    <n v="0"/>
    <n v="42253"/>
    <s v="861636080914871"/>
    <n v="-254"/>
  </r>
  <r>
    <x v="25"/>
    <x v="2"/>
    <x v="7"/>
    <s v="MT/SRB/15"/>
    <s v="01/04/2026"/>
    <s v="REDMI A5 (3/64GB) JAISALMER GOLD:XIAOMI:MOBILE"/>
    <n v="1"/>
    <n v="7500"/>
    <n v="0"/>
    <n v="0"/>
    <n v="7510"/>
    <s v="864902083055444"/>
    <n v="-10"/>
  </r>
  <r>
    <x v="0"/>
    <x v="0"/>
    <x v="1"/>
    <s v="MT/GDRB/358"/>
    <s v="12/04/2026"/>
    <s v="N105(SINGLESIM-TA-1575) CHARCOAL:NOKIA:MOBILE"/>
    <n v="1"/>
    <n v="1400"/>
    <n v="0"/>
    <n v="0"/>
    <n v="1206"/>
    <s v="351775766060646"/>
    <n v="194"/>
  </r>
  <r>
    <x v="0"/>
    <x v="0"/>
    <x v="6"/>
    <s v="MT/GDRB/363"/>
    <s v="12/04/2026"/>
    <s v="Y11 5G (4/128GB) SUNRISE GOLD:VIVO:MOBILE"/>
    <n v="1"/>
    <n v="16300"/>
    <n v="0"/>
    <n v="0"/>
    <n v="15847"/>
    <s v="864001082746994"/>
    <n v="453"/>
  </r>
  <r>
    <x v="1"/>
    <x v="1"/>
    <x v="3"/>
    <s v="MT/ACB/801"/>
    <s v="12/04/2026"/>
    <s v="MOTO G35 (4/128GB) MIDNIGHT BLACK:MOTOROLA:MOBILE"/>
    <n v="1"/>
    <n v="12000"/>
    <n v="0"/>
    <n v="0"/>
    <n v="12140"/>
    <s v="358557214771013"/>
    <n v="-140"/>
  </r>
  <r>
    <x v="1"/>
    <x v="1"/>
    <x v="9"/>
    <s v="MT/ACB/742"/>
    <s v="12/04/2026"/>
    <s v="A176NL(A17 5G-6/128GB) W/O TA BLACK:SAMSUNG:MOBILE(T.VALUE)"/>
    <n v="1"/>
    <n v="19500"/>
    <n v="0"/>
    <n v="0"/>
    <n v="17528"/>
    <s v="355299981317364"/>
    <n v="1972"/>
  </r>
  <r>
    <x v="1"/>
    <x v="1"/>
    <x v="9"/>
    <s v="MT/ACB/756"/>
    <s v="12/04/2026"/>
    <s v="S731BC(S25 FE-8/256GB) WHITE:SAMSUNG:MOBILE"/>
    <n v="1"/>
    <n v="60000"/>
    <n v="0"/>
    <n v="0"/>
    <n v="61825"/>
    <s v="351298325322076"/>
    <n v="-1825"/>
  </r>
  <r>
    <x v="1"/>
    <x v="1"/>
    <x v="9"/>
    <s v="MT/ACB/758"/>
    <s v="12/04/2026"/>
    <s v="S948BB(S26 ULTRA-12/256GB) COBALT VIOLET:SAMSUNG:MOBILE"/>
    <n v="1"/>
    <n v="137000"/>
    <n v="0"/>
    <n v="0"/>
    <n v="132212.43"/>
    <s v="358780490739302"/>
    <n v="4787.57"/>
  </r>
  <r>
    <x v="1"/>
    <x v="1"/>
    <x v="9"/>
    <s v="MT/ACB/768"/>
    <s v="12/04/2026"/>
    <s v="S942BC(S26-12/256GB) COBALT VIOLET:SAMSUNG:MOBILE"/>
    <n v="1"/>
    <n v="82500"/>
    <n v="0"/>
    <n v="0"/>
    <n v="82751.31"/>
    <s v="351690534865566"/>
    <n v="-251.31"/>
  </r>
  <r>
    <x v="2"/>
    <x v="0"/>
    <x v="11"/>
    <s v="MT/GDRB/353"/>
    <s v="12/04/2026"/>
    <s v="RENO 15C 5G (8/256GB) AFTERGLOW PINK:OPPO:MOBILE"/>
    <n v="1"/>
    <n v="35300"/>
    <n v="0"/>
    <n v="0"/>
    <n v="34683"/>
    <s v="864052086755879"/>
    <n v="617"/>
  </r>
  <r>
    <x v="2"/>
    <x v="0"/>
    <x v="6"/>
    <s v="MT/GDRB/349"/>
    <s v="12/04/2026"/>
    <s v="V70 5G (8/256GB) PASSION RED:VIVO:MOBILE"/>
    <n v="1"/>
    <n v="41500"/>
    <n v="0"/>
    <n v="0"/>
    <n v="42253"/>
    <s v="861636080671737"/>
    <n v="-753"/>
  </r>
  <r>
    <x v="2"/>
    <x v="0"/>
    <x v="6"/>
    <s v="MT/GDRB/351"/>
    <s v="12/04/2026"/>
    <s v="V70 5G (8/256GB) PASSION RED:VIVO:MOBILE"/>
    <n v="1"/>
    <n v="42000"/>
    <n v="0"/>
    <n v="0"/>
    <n v="42253"/>
    <s v="861636080662470"/>
    <n v="-253"/>
  </r>
  <r>
    <x v="2"/>
    <x v="0"/>
    <x v="6"/>
    <s v="MT/GDRB/354"/>
    <s v="12/04/2026"/>
    <s v="V70 5G (8/256GB) AUTHENTIC BLACK:VIVO:MOBILE"/>
    <n v="1"/>
    <n v="42500"/>
    <n v="0"/>
    <n v="0"/>
    <n v="42253"/>
    <s v="861636080336919"/>
    <n v="247"/>
  </r>
  <r>
    <x v="2"/>
    <x v="0"/>
    <x v="6"/>
    <s v="MT/GDRB/356"/>
    <s v="12/04/2026"/>
    <s v="Y11 5G (4/128GB) MIDNIGHT BLUE:VIVO:MOBILE"/>
    <n v="1"/>
    <n v="16200"/>
    <n v="0"/>
    <n v="0"/>
    <n v="15847"/>
    <s v="864001083531510"/>
    <n v="353"/>
  </r>
  <r>
    <x v="3"/>
    <x v="1"/>
    <x v="9"/>
    <s v="MT/ACB/761"/>
    <s v="12/04/2026"/>
    <s v="E176BA(F17 5G-4/128GB) VIOLET POP:SAMSUNG:MOBILE(T.VALUE)"/>
    <n v="1"/>
    <n v="15200"/>
    <n v="0"/>
    <n v="0"/>
    <n v="15000"/>
    <s v="350133665794892"/>
    <n v="200"/>
  </r>
  <r>
    <x v="4"/>
    <x v="1"/>
    <x v="3"/>
    <s v="MT/ACB/746"/>
    <s v="12/04/2026"/>
    <s v="MOTO G35 (4/128GB) LEAF GREEN:MOTOROLA:MOBILE"/>
    <n v="1"/>
    <n v="12499"/>
    <n v="0"/>
    <n v="0"/>
    <n v="12140"/>
    <s v="358557215414092"/>
    <n v="359"/>
  </r>
  <r>
    <x v="4"/>
    <x v="1"/>
    <x v="3"/>
    <s v="MT/ACB/779"/>
    <s v="12/04/2026"/>
    <s v="MOTO EDGE 70 FUSION (12/256GB) SILHOUTTE:MOTOROLA:MOBILE"/>
    <n v="1"/>
    <n v="32000"/>
    <n v="0"/>
    <n v="0"/>
    <n v="31748"/>
    <s v="353324452660191"/>
    <n v="252"/>
  </r>
  <r>
    <x v="4"/>
    <x v="1"/>
    <x v="9"/>
    <s v="MT/ACB/806"/>
    <s v="12/04/2026"/>
    <s v="A076BB(A07 5G-4/128GB) LIGHT GREEN:SAMSUNG:MOBILE"/>
    <n v="1"/>
    <n v="15396"/>
    <n v="0"/>
    <n v="0"/>
    <n v="14891"/>
    <s v="359695532606880"/>
    <n v="505"/>
  </r>
  <r>
    <x v="5"/>
    <x v="1"/>
    <x v="8"/>
    <s v="MT/ACB/783"/>
    <s v="12/04/2026"/>
    <s v="IPHONE 17 PRO(256GB) DEEP BLUE:APPLE:MOBILE"/>
    <n v="1"/>
    <n v="134900"/>
    <n v="0"/>
    <n v="0"/>
    <n v="130826"/>
    <s v="352590925526174"/>
    <n v="4074"/>
  </r>
  <r>
    <x v="5"/>
    <x v="1"/>
    <x v="3"/>
    <s v="MT/ACB/750"/>
    <s v="12/04/2026"/>
    <s v="MOTO G67 POWER (8/128GB) CILANTRO:MOTOROLA:MOBILE"/>
    <n v="1"/>
    <n v="16999"/>
    <n v="0"/>
    <n v="0"/>
    <n v="16511"/>
    <s v="356944973838617"/>
    <n v="488"/>
  </r>
  <r>
    <x v="5"/>
    <x v="1"/>
    <x v="3"/>
    <s v="MT/ACB/789"/>
    <s v="12/04/2026"/>
    <s v="MOTO G67 POWER (8/128GB) CILANTRO:MOTOROLA:MOBILE"/>
    <n v="1"/>
    <n v="16999"/>
    <n v="0"/>
    <n v="0"/>
    <n v="16511"/>
    <s v="356231213518492"/>
    <n v="488"/>
  </r>
  <r>
    <x v="5"/>
    <x v="1"/>
    <x v="4"/>
    <s v="MT/ACB/800"/>
    <s v="12/04/2026"/>
    <s v="C83 5G (4/128GB) BLOOMING PURPLE:REALME:MOBILE(T.VALUE)"/>
    <n v="1"/>
    <n v="14000"/>
    <n v="0"/>
    <n v="0"/>
    <n v="14175"/>
    <s v="863074083646696"/>
    <n v="-175"/>
  </r>
  <r>
    <x v="5"/>
    <x v="1"/>
    <x v="6"/>
    <s v="MT/ACB/762"/>
    <s v="12/04/2026"/>
    <s v="V70 5G (8/256GB) LEMON YELLOW:VIVO:MOBILE"/>
    <n v="1"/>
    <n v="43000"/>
    <n v="0"/>
    <n v="0"/>
    <n v="42253"/>
    <s v="861636080532855"/>
    <n v="747"/>
  </r>
  <r>
    <x v="6"/>
    <x v="0"/>
    <x v="11"/>
    <s v="MT/GDRB/346"/>
    <s v="12/04/2026"/>
    <s v="A6X 5G (4/128GB) ICE BLUE:OPPO:MOBILE"/>
    <n v="1"/>
    <n v="18200"/>
    <n v="0"/>
    <n v="0"/>
    <n v="17734"/>
    <s v="864784081956538"/>
    <n v="466"/>
  </r>
  <r>
    <x v="6"/>
    <x v="0"/>
    <x v="9"/>
    <s v="MT/GDRB/359"/>
    <s v="12/04/2026"/>
    <s v="S948BC(S26 ULTRA-12/512GB) COBALT VIOLET:SAMSUNG:MOBILE(T.VALUE)"/>
    <n v="1"/>
    <n v="131000"/>
    <n v="0"/>
    <n v="0"/>
    <n v="132036"/>
    <s v="352425610345558"/>
    <n v="-1036"/>
  </r>
  <r>
    <x v="6"/>
    <x v="0"/>
    <x v="6"/>
    <s v="MT/GDRB/348"/>
    <s v="12/04/2026"/>
    <s v="V70 FE 5G (8/128GB) NORTHERN LIGHTS PURPLE:VIVO:MOBILE"/>
    <n v="1"/>
    <n v="36200"/>
    <n v="0"/>
    <n v="0"/>
    <n v="35123"/>
    <s v="861130087312438"/>
    <n v="1077"/>
  </r>
  <r>
    <x v="7"/>
    <x v="1"/>
    <x v="11"/>
    <s v="MT/ACB/741"/>
    <s v="12/04/2026"/>
    <s v="A6X 5G (4/64GB) ICE BLUE:OPPO:MOBILE"/>
    <n v="1"/>
    <n v="16300"/>
    <n v="0"/>
    <n v="0"/>
    <n v="16007"/>
    <s v="869556083441171"/>
    <n v="293"/>
  </r>
  <r>
    <x v="8"/>
    <x v="2"/>
    <x v="4"/>
    <s v="MT/SRB/311"/>
    <s v="12/04/2026"/>
    <s v="C83 5G (4/64GB) BLOOMING PURPLE:REALME:MOBILE"/>
    <n v="1"/>
    <n v="14499"/>
    <n v="0"/>
    <n v="0"/>
    <n v="13582"/>
    <s v="860543081360859"/>
    <n v="917"/>
  </r>
  <r>
    <x v="8"/>
    <x v="2"/>
    <x v="4"/>
    <s v="MT/SRB/315"/>
    <s v="12/04/2026"/>
    <s v="16 5G (12/256GB) AIR BLACK:REALME:MOBILE"/>
    <n v="1"/>
    <n v="36999"/>
    <n v="0"/>
    <n v="0"/>
    <n v="33746"/>
    <s v="866389083438911"/>
    <n v="3253"/>
  </r>
  <r>
    <x v="8"/>
    <x v="2"/>
    <x v="4"/>
    <s v="MT/SRB/324"/>
    <s v="12/04/2026"/>
    <s v="C83 5G (4/64GB) BLOOMING PURPLE:REALME:MOBILE"/>
    <n v="1"/>
    <n v="14499"/>
    <n v="0"/>
    <n v="0"/>
    <n v="13582"/>
    <s v="860543081403295"/>
    <n v="917"/>
  </r>
  <r>
    <x v="9"/>
    <x v="2"/>
    <x v="6"/>
    <s v="MT/SRB/309"/>
    <s v="12/04/2026"/>
    <s v="V70 5G (8/256GB) AUTHENTIC BLACK:VIVO:MOBILE"/>
    <n v="1"/>
    <n v="43000"/>
    <n v="0"/>
    <n v="0"/>
    <n v="42253"/>
    <s v="861636080269052"/>
    <n v="747"/>
  </r>
  <r>
    <x v="9"/>
    <x v="2"/>
    <x v="6"/>
    <s v="MT/SRB/314"/>
    <s v="12/04/2026"/>
    <s v="V70 ELITE 5G (12/256GB) PASSION RED:VIVO:MOBILE"/>
    <n v="1"/>
    <n v="54000"/>
    <n v="0"/>
    <n v="0"/>
    <n v="52279"/>
    <s v="864253089053177"/>
    <n v="1721"/>
  </r>
  <r>
    <x v="9"/>
    <x v="2"/>
    <x v="6"/>
    <s v="MT/SRB/320"/>
    <s v="12/04/2026"/>
    <s v="V70 5G (12/256GB) PASSION RED:VIVO:MOBILE"/>
    <n v="1"/>
    <n v="46000"/>
    <n v="0"/>
    <n v="0"/>
    <n v="45894"/>
    <s v="861636083237031"/>
    <n v="106"/>
  </r>
  <r>
    <x v="12"/>
    <x v="2"/>
    <x v="4"/>
    <s v="MT/SRB/310"/>
    <s v="12/04/2026"/>
    <s v="16 5G (8/128GB) AIR BLACK:REALME:MOBILE"/>
    <n v="1"/>
    <n v="31999"/>
    <n v="0"/>
    <n v="0"/>
    <n v="29186"/>
    <s v="866389080128937"/>
    <n v="2813"/>
  </r>
  <r>
    <x v="12"/>
    <x v="2"/>
    <x v="4"/>
    <s v="MT/SRB/325"/>
    <s v="12/04/2026"/>
    <s v="15T 5G (8/128GB) SILK BLUE:REALME:MOBILE"/>
    <n v="1"/>
    <n v="26999"/>
    <n v="0"/>
    <n v="0"/>
    <n v="24625"/>
    <s v="868088085969356"/>
    <n v="2374"/>
  </r>
  <r>
    <x v="14"/>
    <x v="2"/>
    <x v="6"/>
    <s v="MT/SRB/322"/>
    <s v="12/04/2026"/>
    <s v="V70 5G (8/256GB) LEMON YELLOW:VIVO:MOBILE"/>
    <n v="1"/>
    <n v="45999"/>
    <n v="0"/>
    <n v="0"/>
    <n v="42253"/>
    <s v="861636080915019"/>
    <n v="3746"/>
  </r>
  <r>
    <x v="15"/>
    <x v="1"/>
    <x v="3"/>
    <s v="MT/ACB/743"/>
    <s v="12/04/2026"/>
    <s v="MOTO G06 (4/64GB) PANTONE TAPESTRY:MOTOROLA:MOBILE"/>
    <n v="1"/>
    <n v="10000"/>
    <n v="0"/>
    <n v="0"/>
    <n v="9712"/>
    <s v="356849605901016"/>
    <n v="288"/>
  </r>
  <r>
    <x v="15"/>
    <x v="1"/>
    <x v="11"/>
    <s v="MT/ACB/749"/>
    <s v="12/04/2026"/>
    <s v="F31 5G (8/128GB) MIDNIGHT BLUE:OPPO:MOBILE"/>
    <n v="1"/>
    <n v="26000"/>
    <n v="0"/>
    <n v="0"/>
    <n v="24811"/>
    <s v="862080083538651"/>
    <n v="1189"/>
  </r>
  <r>
    <x v="15"/>
    <x v="1"/>
    <x v="11"/>
    <s v="MT/ACB/766"/>
    <s v="12/04/2026"/>
    <s v="RENO 15 5G (12/512GB) TWILIGHT BLUE:OPPO:MOBILE"/>
    <n v="1"/>
    <n v="49099"/>
    <n v="0"/>
    <n v="0"/>
    <n v="49288"/>
    <s v="865806085456097"/>
    <n v="-189"/>
  </r>
  <r>
    <x v="15"/>
    <x v="1"/>
    <x v="11"/>
    <s v="MT/ACB/772"/>
    <s v="12/04/2026"/>
    <s v="A6 5G (6/128GB) SAKURA PINK:OPPO:MOBILE"/>
    <n v="1"/>
    <n v="23000"/>
    <n v="0"/>
    <n v="0"/>
    <n v="22202"/>
    <s v="862869086756835"/>
    <n v="798"/>
  </r>
  <r>
    <x v="15"/>
    <x v="1"/>
    <x v="11"/>
    <s v="MT/ACB/784"/>
    <s v="12/04/2026"/>
    <s v="RENO 15 5G (8/256GB) AURORA BLUE:OPPO:MOBILE"/>
    <n v="1"/>
    <n v="42449"/>
    <n v="0"/>
    <n v="0"/>
    <n v="41986"/>
    <s v="865806087229351"/>
    <n v="463"/>
  </r>
  <r>
    <x v="16"/>
    <x v="1"/>
    <x v="3"/>
    <s v="MT/ACB/792"/>
    <s v="12/04/2026"/>
    <s v="MOTO EDGE 70 FUSION (12/256GB) BLUE SURF:MOTOROLA:MOBILE"/>
    <n v="1"/>
    <n v="31500"/>
    <n v="0"/>
    <n v="0"/>
    <n v="31748"/>
    <s v="357279950987379"/>
    <n v="-248"/>
  </r>
  <r>
    <x v="16"/>
    <x v="1"/>
    <x v="7"/>
    <s v="MT/ACB/759"/>
    <s v="12/04/2026"/>
    <s v="REDMI NOTE 15 5G (8/256GB) BLACK:XIAOMI:MOBILE"/>
    <n v="1"/>
    <n v="26560"/>
    <n v="0"/>
    <n v="0"/>
    <n v="25861"/>
    <s v="868495078308346"/>
    <n v="699"/>
  </r>
  <r>
    <x v="17"/>
    <x v="1"/>
    <x v="3"/>
    <s v="MT/ACB/793"/>
    <s v="12/04/2026"/>
    <s v="MOTO G35 (4/128GB) MIDNIGHT BLACK:MOTOROLA:MOBILE"/>
    <n v="1"/>
    <n v="12499"/>
    <n v="0"/>
    <n v="0"/>
    <n v="12140"/>
    <s v="358557214621994"/>
    <n v="359"/>
  </r>
  <r>
    <x v="17"/>
    <x v="1"/>
    <x v="9"/>
    <s v="MT/ACB/763"/>
    <s v="12/04/2026"/>
    <s v="A176NL(A17 5G-6/128GB) W/O TA BLACK:SAMSUNG:MOBILE(T.VALUE)"/>
    <n v="1"/>
    <n v="18000"/>
    <n v="0"/>
    <n v="0"/>
    <n v="17528"/>
    <s v="355299983595801"/>
    <n v="472"/>
  </r>
  <r>
    <x v="17"/>
    <x v="1"/>
    <x v="9"/>
    <s v="MT/ACB/808"/>
    <s v="12/04/2026"/>
    <s v="A376ED(A37 5G-8/128GB) GRAY GREEN:SAMSUNG:MOBILE"/>
    <n v="1"/>
    <n v="37500"/>
    <n v="0"/>
    <n v="0"/>
    <n v="37518"/>
    <s v="351008510154782"/>
    <n v="-18"/>
  </r>
  <r>
    <x v="18"/>
    <x v="0"/>
    <x v="4"/>
    <s v="MT/GDRB/367"/>
    <s v="12/04/2026"/>
    <s v="15T 5G (8/256GB) SUIT TITANIUM:REALME:MOBILE"/>
    <n v="1"/>
    <n v="28999"/>
    <n v="0"/>
    <n v="0"/>
    <n v="26449"/>
    <s v="868088085742332"/>
    <n v="2550"/>
  </r>
  <r>
    <x v="19"/>
    <x v="1"/>
    <x v="6"/>
    <s v="MT/ACB/745"/>
    <s v="12/04/2026"/>
    <s v="Y21 5G (8/128GB) CHAMPANGE GOLD:VIVO:MOBILE"/>
    <n v="1"/>
    <n v="21000"/>
    <n v="0"/>
    <n v="0"/>
    <n v="21259"/>
    <s v="869636087205739"/>
    <n v="-259"/>
  </r>
  <r>
    <x v="20"/>
    <x v="1"/>
    <x v="13"/>
    <s v="MT/ACB/771"/>
    <s v="12/04/2026"/>
    <s v="IT2181 BLACK:ITEL:MOBILE"/>
    <n v="1"/>
    <n v="1400"/>
    <n v="0"/>
    <n v="0"/>
    <n v="982"/>
    <s v="353578920503040"/>
    <n v="418"/>
  </r>
  <r>
    <x v="20"/>
    <x v="1"/>
    <x v="4"/>
    <s v="MT/ACB/780"/>
    <s v="12/04/2026"/>
    <s v="16 5G (8/128GB) AIR WHITE:REALME:MOBILE"/>
    <n v="1"/>
    <n v="29199"/>
    <n v="0"/>
    <n v="0"/>
    <n v="29186"/>
    <s v="866389080726490"/>
    <n v="13"/>
  </r>
  <r>
    <x v="20"/>
    <x v="1"/>
    <x v="4"/>
    <s v="MT/ACB/794"/>
    <s v="12/04/2026"/>
    <s v="15T 5G (8/128GB) SILK BLUE:REALME:MOBILE"/>
    <n v="1"/>
    <n v="25500"/>
    <n v="0"/>
    <n v="0"/>
    <n v="24625"/>
    <s v="867146080607537"/>
    <n v="875"/>
  </r>
  <r>
    <x v="20"/>
    <x v="1"/>
    <x v="4"/>
    <s v="MT/ACB/807"/>
    <s v="12/04/2026"/>
    <s v="C83 5G (4/128GB) SPROUTING GREEN:REALME:MOBILE(T.VALUE)"/>
    <n v="1"/>
    <n v="14000"/>
    <n v="0"/>
    <n v="0"/>
    <n v="14175"/>
    <s v="860543080401175"/>
    <n v="-175"/>
  </r>
  <r>
    <x v="21"/>
    <x v="1"/>
    <x v="4"/>
    <s v="MT/ACB/764"/>
    <s v="12/04/2026"/>
    <s v="16 5G (8/128GB) AIR WHITE:REALME:MOBILE"/>
    <n v="1"/>
    <n v="29200"/>
    <n v="0"/>
    <n v="0"/>
    <n v="29186"/>
    <s v="866389080750219"/>
    <n v="14"/>
  </r>
  <r>
    <x v="21"/>
    <x v="1"/>
    <x v="4"/>
    <s v="MT/ACB/788"/>
    <s v="12/04/2026"/>
    <s v="16 5G (8/128GB) AIR WHITE:REALME:MOBILE"/>
    <n v="1"/>
    <n v="29000"/>
    <n v="0"/>
    <n v="0"/>
    <n v="29186"/>
    <s v="866389080710072"/>
    <n v="-186"/>
  </r>
  <r>
    <x v="21"/>
    <x v="1"/>
    <x v="7"/>
    <s v="MT/ACB/765"/>
    <s v="12/04/2026"/>
    <s v="REDMI 15A 5G (4/64GB) ACE BLACK:XIAOMI:MOBILE"/>
    <n v="1"/>
    <n v="12500"/>
    <n v="0"/>
    <n v="0"/>
    <n v="12123"/>
    <s v="866938084205248"/>
    <n v="377"/>
  </r>
  <r>
    <x v="22"/>
    <x v="1"/>
    <x v="6"/>
    <s v="MT/ACB/775"/>
    <s v="12/04/2026"/>
    <s v="V70 5G (8/256GB) AUTHENTIC BLACK:VIVO:MOBILE"/>
    <n v="1"/>
    <n v="42000"/>
    <n v="0"/>
    <n v="0"/>
    <n v="42253"/>
    <s v="861636080337636"/>
    <n v="-253"/>
  </r>
  <r>
    <x v="22"/>
    <x v="1"/>
    <x v="6"/>
    <s v="MT/ACB/796"/>
    <s v="12/04/2026"/>
    <s v="V70 5G (8/256GB) PASSION RED:VIVO:MOBILE"/>
    <n v="1"/>
    <n v="42097"/>
    <n v="0"/>
    <n v="0"/>
    <n v="42253"/>
    <s v="861636081256033"/>
    <n v="-156"/>
  </r>
  <r>
    <x v="22"/>
    <x v="1"/>
    <x v="6"/>
    <s v="MT/ACB/797"/>
    <s v="12/04/2026"/>
    <s v="V70 5G (8/256GB) LEMON YELLOW:VIVO:MOBILE"/>
    <n v="1"/>
    <n v="41500"/>
    <n v="0"/>
    <n v="0"/>
    <n v="42253"/>
    <s v="861636080532418"/>
    <n v="-753"/>
  </r>
  <r>
    <x v="22"/>
    <x v="1"/>
    <x v="6"/>
    <s v="MT/ACB/805"/>
    <s v="12/04/2026"/>
    <s v="V70 FE 5G (12/256GB) MONSOON BLUE:VIVO:MOBILE"/>
    <n v="1"/>
    <n v="41999"/>
    <n v="0"/>
    <n v="0"/>
    <n v="41355"/>
    <s v="861130088390698"/>
    <n v="644"/>
  </r>
  <r>
    <x v="23"/>
    <x v="1"/>
    <x v="13"/>
    <s v="MT/ACB/804"/>
    <s v="12/04/2026"/>
    <s v="IT ACE 3 DEEP BLUE:ITEL:MOBILE"/>
    <n v="1"/>
    <n v="1100"/>
    <n v="0"/>
    <n v="0"/>
    <n v="859"/>
    <s v="351825980597962"/>
    <n v="241"/>
  </r>
  <r>
    <x v="23"/>
    <x v="1"/>
    <x v="6"/>
    <s v="MT/ACB/744"/>
    <s v="12/04/2026"/>
    <s v="V70 5G (8/256GB) PASSION RED:VIVO:MOBILE"/>
    <n v="1"/>
    <n v="45000"/>
    <n v="0"/>
    <n v="0"/>
    <n v="42253"/>
    <s v="861636080662371"/>
    <n v="2747"/>
  </r>
  <r>
    <x v="23"/>
    <x v="1"/>
    <x v="6"/>
    <s v="MT/ACB/767"/>
    <s v="12/04/2026"/>
    <s v="Y31 5G (6/128GB) ROSE RED:VIVO:MOBILE"/>
    <n v="1"/>
    <n v="19400"/>
    <n v="0"/>
    <n v="0"/>
    <n v="19370"/>
    <s v="866150080383686"/>
    <n v="30"/>
  </r>
  <r>
    <x v="23"/>
    <x v="1"/>
    <x v="6"/>
    <s v="MT/ACB/778"/>
    <s v="12/04/2026"/>
    <s v="Y11 5G (4/64GB) MIDNIGHT BLUE:VIVO:MOBILE"/>
    <n v="1"/>
    <n v="14500"/>
    <n v="0"/>
    <n v="0"/>
    <n v="14010"/>
    <s v="864001082337133"/>
    <n v="490"/>
  </r>
  <r>
    <x v="25"/>
    <x v="1"/>
    <x v="8"/>
    <s v="MT/ACB/770"/>
    <s v="12/04/2026"/>
    <s v="IPHONE 17 PRO MAX(256GB) DEEP BLUE:APPLE:MOBILE"/>
    <n v="1"/>
    <n v="148400"/>
    <n v="0"/>
    <n v="0"/>
    <n v="145373"/>
    <s v="357218977927950"/>
    <n v="3027"/>
  </r>
  <r>
    <x v="25"/>
    <x v="1"/>
    <x v="6"/>
    <s v="MT/ACB/787"/>
    <s v="12/04/2026"/>
    <s v="Y31 5G (4/128GB) ROSE RED:VIVO:MOBILE"/>
    <n v="1"/>
    <n v="17000"/>
    <n v="0"/>
    <n v="0"/>
    <n v="17482"/>
    <s v="866592081605809"/>
    <n v="-482"/>
  </r>
  <r>
    <x v="25"/>
    <x v="0"/>
    <x v="4"/>
    <s v="MT/GDRB/369"/>
    <s v="12/04/2026"/>
    <s v="16 5G (8/256GB) AIR WHITE:REALME:MOBILE"/>
    <n v="1"/>
    <n v="30500"/>
    <n v="0"/>
    <n v="0"/>
    <n v="31010"/>
    <s v="866389084077379"/>
    <n v="-510"/>
  </r>
  <r>
    <x v="26"/>
    <x v="3"/>
    <x v="1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53A41-1BFD-4588-A2A7-08DE0E8F54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9" firstHeaderRow="0" firstDataRow="1" firstDataCol="1" rowPageCount="2" colPageCount="1"/>
  <pivotFields count="13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27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axis="axisPage" showAll="0">
      <items count="16">
        <item x="8"/>
        <item x="0"/>
        <item x="13"/>
        <item x="3"/>
        <item x="1"/>
        <item x="12"/>
        <item x="2"/>
        <item x="11"/>
        <item x="10"/>
        <item x="4"/>
        <item x="9"/>
        <item x="5"/>
        <item x="6"/>
        <item x="7"/>
        <item x="1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</pivotFields>
  <rowFields count="1">
    <field x="0"/>
  </rowFields>
  <rowItems count="15">
    <i>
      <x v="1"/>
    </i>
    <i>
      <x v="3"/>
    </i>
    <i>
      <x v="4"/>
    </i>
    <i>
      <x v="5"/>
    </i>
    <i>
      <x v="7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0" hier="-1"/>
    <pageField fld="2" hier="-1"/>
  </pageFields>
  <dataFields count="3">
    <dataField name="Sum of Sales Value" fld="7" baseField="0" baseItem="0"/>
    <dataField name="Sum of Sales Qty." fld="6" baseField="0" baseItem="0"/>
    <dataField name="Sum of Profit Amt.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4EBCE-1096-4963-BCAD-B783455DF545}" name="Table4524" displayName="Table4524" ref="H5:Q19" totalsRowShown="0" headerRowDxfId="43" dataDxfId="41" headerRowBorderDxfId="42" tableBorderDxfId="40" totalsRowBorderDxfId="39">
  <tableColumns count="10">
    <tableColumn id="1" xr3:uid="{2D48DCE6-AEC9-4070-A17D-7F5A3E2CAD87}" name="MANAGER NAME " dataDxfId="38" dataCellStyle="Heading 4"/>
    <tableColumn id="2" xr3:uid="{4B3C9CF2-D384-46AC-B98B-17B52DE9FDF9}" name="SALES PERSON" dataDxfId="37"/>
    <tableColumn id="3" xr3:uid="{A77A1063-113A-4865-953B-878854D0D3C3}" name="GP TGT" dataDxfId="36">
      <calculatedColumnFormula>VLOOKUP(I6,[2]Sheet3!$B$3:$H$16,2,0)</calculatedColumnFormula>
    </tableColumn>
    <tableColumn id="4" xr3:uid="{EB0BFAEB-C791-453D-9BE2-7144D0BA6BE5}" name="QTY TGT" dataDxfId="35">
      <calculatedColumnFormula>VLOOKUP(I6,[2]Sheet3!$B$3:$H$16,3,0)</calculatedColumnFormula>
    </tableColumn>
    <tableColumn id="6" xr3:uid="{8175C65F-220C-435C-8AF5-AA0EE4028CB2}" name="GP ACH" dataDxfId="34"/>
    <tableColumn id="7" xr3:uid="{D982E8D2-823C-4FDF-B7F9-6137E9D97099}" name="QTY ACH" dataDxfId="33">
      <calculatedColumnFormula>GETPIVOTDATA("Sum of Sales Qty.",$A$4,"Salesperson","34 - AVESH")</calculatedColumnFormula>
    </tableColumn>
    <tableColumn id="8" xr3:uid="{1AC101FF-69F3-4AF0-90A3-F2621595C390}" name="GP BTD" dataDxfId="32">
      <calculatedColumnFormula>J6-L6</calculatedColumnFormula>
    </tableColumn>
    <tableColumn id="9" xr3:uid="{DDAF1964-BA85-4B91-B023-86EB11F93816}" name="QTY BTD" dataDxfId="31">
      <calculatedColumnFormula>K6-M6</calculatedColumnFormula>
    </tableColumn>
    <tableColumn id="12" xr3:uid="{79151D6C-E88D-478F-A963-CBC3AA4D152C}" name="PER DAY REQ" dataDxfId="30">
      <calculatedColumnFormula>N6/20</calculatedColumnFormula>
    </tableColumn>
    <tableColumn id="13" xr3:uid="{FE0C435B-73A0-4622-A734-E66069F2CF7F}" name="PER DAY QTY REQ" dataDxfId="29">
      <calculatedColumnFormula>O6/20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9E24B-1F28-4D15-84DE-E5E18B0CECDA}" name="Table2" displayName="Table2" ref="A1:M856" totalsRowShown="0" headerRowDxfId="28" headerRowBorderDxfId="27" tableBorderDxfId="26">
  <tableColumns count="13">
    <tableColumn id="1" xr3:uid="{FD7E7C56-B18F-4D62-AB94-66D087D1D58B}" name="Salesperson" dataDxfId="25" totalsRowDxfId="24"/>
    <tableColumn id="2" xr3:uid="{BC3CF5A6-E01F-422F-AD41-53CDA2B17061}" name="Branch" dataDxfId="23" totalsRowDxfId="22"/>
    <tableColumn id="3" xr3:uid="{8114D707-2778-40AF-BB2B-3A3AC31DC7B3}" name="Brand" dataDxfId="21" totalsRowDxfId="20"/>
    <tableColumn id="4" xr3:uid="{EF6BEAAD-997A-49DB-BA16-7EEBF07D36F2}" name="Doc. No." dataDxfId="19" totalsRowDxfId="18"/>
    <tableColumn id="5" xr3:uid="{5575D95C-DA7E-4496-B4C6-70B660792B6A}" name="Doc. Date" dataDxfId="17" totalsRowDxfId="16"/>
    <tableColumn id="6" xr3:uid="{652A3D5F-E105-429A-B30A-CA82055EC697}" name="Item/Model" dataDxfId="15" totalsRowDxfId="14"/>
    <tableColumn id="7" xr3:uid="{3E6575FE-3C33-4420-8B96-2710B4BA8A87}" name="Sales Qty." dataDxfId="13" totalsRowDxfId="12"/>
    <tableColumn id="8" xr3:uid="{B519AD22-AB9A-47F7-A934-0FDC77A98E49}" name="Sales Value" dataDxfId="11" totalsRowDxfId="10"/>
    <tableColumn id="11" xr3:uid="{0B9B3D6B-C02A-4F53-BD88-F710FFBB0831}" name="Sales Return Qty." dataDxfId="9" totalsRowDxfId="8"/>
    <tableColumn id="12" xr3:uid="{B51E652E-2B8A-4BA5-BA39-8416865D46C1}" name="Sales Return Value" dataDxfId="7" totalsRowDxfId="6"/>
    <tableColumn id="13" xr3:uid="{61A8D31E-AD16-4BEC-9436-63D545335779}" name="Manager Landing" dataDxfId="5" totalsRowDxfId="4"/>
    <tableColumn id="14" xr3:uid="{7E6AD08B-1D75-4EA8-9329-79AD351F6C6B}" name="IMEI NO" dataDxfId="3" totalsRowDxfId="2"/>
    <tableColumn id="9" xr3:uid="{DF86EB48-D0E9-4EE2-85F3-DCE7B36616E9}" name="Profit Amt.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D9DB-ED99-4EAF-B334-227C707080AA}">
  <dimension ref="A1:W41"/>
  <sheetViews>
    <sheetView zoomScale="55" zoomScaleNormal="55" workbookViewId="0">
      <selection activeCell="K18" sqref="K18"/>
    </sheetView>
  </sheetViews>
  <sheetFormatPr defaultRowHeight="15" x14ac:dyDescent="0.25"/>
  <cols>
    <col min="1" max="1" width="22.42578125" bestFit="1" customWidth="1"/>
    <col min="2" max="2" width="18" bestFit="1" customWidth="1"/>
    <col min="3" max="3" width="16.42578125" bestFit="1" customWidth="1"/>
    <col min="4" max="4" width="17.5703125" bestFit="1" customWidth="1"/>
    <col min="5" max="5" width="9" bestFit="1" customWidth="1"/>
    <col min="8" max="8" width="17" style="10" bestFit="1" customWidth="1"/>
    <col min="9" max="9" width="23" style="10" bestFit="1" customWidth="1"/>
    <col min="10" max="10" width="7.42578125" style="10" bestFit="1" customWidth="1"/>
    <col min="11" max="11" width="8.42578125" style="10" bestFit="1" customWidth="1"/>
    <col min="12" max="12" width="7.7109375" style="10" bestFit="1" customWidth="1"/>
    <col min="13" max="13" width="8.7109375" style="10" bestFit="1" customWidth="1"/>
    <col min="14" max="14" width="7.42578125" style="10" bestFit="1" customWidth="1"/>
    <col min="15" max="15" width="8.42578125" style="10" bestFit="1" customWidth="1"/>
    <col min="16" max="16" width="12.42578125" style="10" bestFit="1" customWidth="1"/>
    <col min="17" max="17" width="16.5703125" style="10" bestFit="1" customWidth="1"/>
    <col min="19" max="19" width="43.5703125" bestFit="1" customWidth="1"/>
    <col min="20" max="20" width="21.5703125" bestFit="1" customWidth="1"/>
    <col min="21" max="21" width="29.7109375" bestFit="1" customWidth="1"/>
    <col min="22" max="22" width="18.28515625" bestFit="1" customWidth="1"/>
    <col min="23" max="23" width="12.42578125" bestFit="1" customWidth="1"/>
    <col min="24" max="24" width="12.140625" bestFit="1" customWidth="1"/>
  </cols>
  <sheetData>
    <row r="1" spans="1:23" x14ac:dyDescent="0.25">
      <c r="A1" s="1" t="s">
        <v>1</v>
      </c>
      <c r="B1" t="s">
        <v>12</v>
      </c>
    </row>
    <row r="2" spans="1:23" x14ac:dyDescent="0.25">
      <c r="A2" s="1" t="s">
        <v>2</v>
      </c>
      <c r="B2" t="s">
        <v>1946</v>
      </c>
    </row>
    <row r="3" spans="1:23" ht="15.75" thickBot="1" x14ac:dyDescent="0.3"/>
    <row r="4" spans="1:23" ht="24" thickBot="1" x14ac:dyDescent="0.4">
      <c r="A4" s="1" t="s">
        <v>1919</v>
      </c>
      <c r="B4" t="s">
        <v>1921</v>
      </c>
      <c r="C4" t="s">
        <v>1920</v>
      </c>
      <c r="D4" t="s">
        <v>1922</v>
      </c>
      <c r="H4" s="87" t="s">
        <v>2093</v>
      </c>
      <c r="I4" s="88"/>
      <c r="J4" s="88"/>
      <c r="K4" s="88"/>
      <c r="L4" s="88"/>
      <c r="M4" s="88"/>
      <c r="N4" s="88"/>
      <c r="O4" s="88"/>
      <c r="P4" s="88"/>
      <c r="Q4" s="89"/>
      <c r="S4" s="84" t="s">
        <v>1948</v>
      </c>
      <c r="T4" s="85"/>
      <c r="U4" s="85"/>
      <c r="V4" s="85"/>
      <c r="W4" s="85"/>
    </row>
    <row r="5" spans="1:23" x14ac:dyDescent="0.25">
      <c r="A5" s="2" t="s">
        <v>86</v>
      </c>
      <c r="B5">
        <v>1669597</v>
      </c>
      <c r="C5">
        <v>42</v>
      </c>
      <c r="D5">
        <v>27827.26</v>
      </c>
      <c r="H5" s="71" t="s">
        <v>1923</v>
      </c>
      <c r="I5" s="72" t="s">
        <v>1924</v>
      </c>
      <c r="J5" s="72" t="s">
        <v>1925</v>
      </c>
      <c r="K5" s="72" t="s">
        <v>1926</v>
      </c>
      <c r="L5" s="72" t="s">
        <v>1928</v>
      </c>
      <c r="M5" s="72" t="s">
        <v>1929</v>
      </c>
      <c r="N5" s="72" t="s">
        <v>1930</v>
      </c>
      <c r="O5" s="72" t="s">
        <v>1931</v>
      </c>
      <c r="P5" s="72" t="s">
        <v>1934</v>
      </c>
      <c r="Q5" s="73" t="s">
        <v>1935</v>
      </c>
      <c r="S5" s="27" t="s">
        <v>1923</v>
      </c>
      <c r="T5" s="27" t="s">
        <v>1924</v>
      </c>
      <c r="U5" s="27" t="s">
        <v>1927</v>
      </c>
      <c r="V5" s="34" t="s">
        <v>1947</v>
      </c>
      <c r="W5" s="27" t="s">
        <v>1933</v>
      </c>
    </row>
    <row r="6" spans="1:23" x14ac:dyDescent="0.25">
      <c r="A6" s="2" t="s">
        <v>350</v>
      </c>
      <c r="B6">
        <v>469599</v>
      </c>
      <c r="C6">
        <v>18</v>
      </c>
      <c r="D6">
        <v>4692</v>
      </c>
      <c r="H6" s="11" t="s">
        <v>1936</v>
      </c>
      <c r="I6" s="74" t="s">
        <v>1226</v>
      </c>
      <c r="J6" s="74">
        <v>65217</v>
      </c>
      <c r="K6" s="74">
        <v>115</v>
      </c>
      <c r="L6" s="74">
        <f>GETPIVOTDATA("Sum of Profit Amt.",$A$4,"Salesperson","3 - Tanmay Lathiya")</f>
        <v>33012.57</v>
      </c>
      <c r="M6" s="74">
        <f>GETPIVOTDATA("Sum of Sales Qty.",$A$4,"Salesperson","3 - Tanmay Lathiya")</f>
        <v>42</v>
      </c>
      <c r="N6" s="74">
        <f t="shared" ref="N6:N18" si="0">J6-L6</f>
        <v>32204.43</v>
      </c>
      <c r="O6" s="74">
        <f t="shared" ref="O6:O18" si="1">K6-M6</f>
        <v>73</v>
      </c>
      <c r="P6" s="74">
        <f t="shared" ref="P6:P18" si="2">N6/18</f>
        <v>1789.135</v>
      </c>
      <c r="Q6" s="75">
        <f t="shared" ref="Q6:Q18" si="3">O6/18</f>
        <v>4.0555555555555554</v>
      </c>
      <c r="S6" s="28" t="s">
        <v>1936</v>
      </c>
      <c r="T6" s="12" t="s">
        <v>1226</v>
      </c>
      <c r="U6" s="3">
        <v>925000</v>
      </c>
      <c r="V6" s="3">
        <f>GETPIVOTDATA("Sum of Sales Value",$A$4,"Salesperson","3 - Tanmay Lathiya")</f>
        <v>1379827</v>
      </c>
      <c r="W6" s="3">
        <f>U6-V6</f>
        <v>-454827</v>
      </c>
    </row>
    <row r="7" spans="1:23" x14ac:dyDescent="0.25">
      <c r="A7" s="2" t="s">
        <v>397</v>
      </c>
      <c r="B7">
        <v>805736</v>
      </c>
      <c r="C7">
        <v>37</v>
      </c>
      <c r="D7">
        <v>16581</v>
      </c>
      <c r="H7" s="11"/>
      <c r="I7" s="74" t="s">
        <v>1588</v>
      </c>
      <c r="J7" s="74">
        <v>50725</v>
      </c>
      <c r="K7" s="74">
        <v>110</v>
      </c>
      <c r="L7" s="74">
        <f>GETPIVOTDATA("Sum of Profit Amt.",$A$4,"Salesperson","6 - NIGAM")</f>
        <v>6565</v>
      </c>
      <c r="M7" s="74">
        <f>GETPIVOTDATA("Sum of Sales Qty.",$A$4,"Salesperson","6 - NIGAM")</f>
        <v>41</v>
      </c>
      <c r="N7" s="74">
        <f t="shared" si="0"/>
        <v>44160</v>
      </c>
      <c r="O7" s="74">
        <f t="shared" si="1"/>
        <v>69</v>
      </c>
      <c r="P7" s="74">
        <f t="shared" si="2"/>
        <v>2453.3333333333335</v>
      </c>
      <c r="Q7" s="75">
        <f t="shared" si="3"/>
        <v>3.8333333333333335</v>
      </c>
      <c r="S7" s="28"/>
      <c r="T7" s="12" t="s">
        <v>1588</v>
      </c>
      <c r="U7" s="3">
        <v>925000</v>
      </c>
      <c r="V7" s="3">
        <f>GETPIVOTDATA("Sum of Sales Value",$A$4,"Salesperson","6 - NIGAM")</f>
        <v>1321486</v>
      </c>
      <c r="W7" s="3">
        <f t="shared" ref="W7:W18" si="4">U7-V7</f>
        <v>-396486</v>
      </c>
    </row>
    <row r="8" spans="1:23" x14ac:dyDescent="0.25">
      <c r="A8" s="2" t="s">
        <v>482</v>
      </c>
      <c r="B8">
        <v>1464621</v>
      </c>
      <c r="C8">
        <v>54</v>
      </c>
      <c r="D8">
        <v>35528</v>
      </c>
      <c r="H8" s="13" t="s">
        <v>1937</v>
      </c>
      <c r="I8" s="76" t="s">
        <v>1155</v>
      </c>
      <c r="J8" s="76">
        <v>57971</v>
      </c>
      <c r="K8" s="76">
        <v>90</v>
      </c>
      <c r="L8" s="76">
        <f>GETPIVOTDATA("Sum of Profit Amt.",$A$4,"Salesperson","27 - Hardik Parmar")</f>
        <v>17737</v>
      </c>
      <c r="M8" s="76">
        <f>GETPIVOTDATA("Sum of Sales Qty.",$A$4,"Salesperson","27 - Hardik Parmar")</f>
        <v>34</v>
      </c>
      <c r="N8" s="76">
        <f t="shared" si="0"/>
        <v>40234</v>
      </c>
      <c r="O8" s="76">
        <f t="shared" si="1"/>
        <v>56</v>
      </c>
      <c r="P8" s="76">
        <f t="shared" si="2"/>
        <v>2235.2222222222222</v>
      </c>
      <c r="Q8" s="76">
        <f t="shared" si="3"/>
        <v>3.1111111111111112</v>
      </c>
      <c r="S8" s="29" t="s">
        <v>1937</v>
      </c>
      <c r="T8" s="14" t="s">
        <v>1155</v>
      </c>
      <c r="U8" s="4">
        <v>925000</v>
      </c>
      <c r="V8" s="4">
        <f>GETPIVOTDATA("Sum of Sales Value",$A$4,"Salesperson","27 - Hardik Parmar")</f>
        <v>952056</v>
      </c>
      <c r="W8" s="4">
        <f t="shared" si="4"/>
        <v>-27056</v>
      </c>
    </row>
    <row r="9" spans="1:23" x14ac:dyDescent="0.25">
      <c r="A9" s="2" t="s">
        <v>717</v>
      </c>
      <c r="B9">
        <v>407514</v>
      </c>
      <c r="C9">
        <v>20</v>
      </c>
      <c r="D9">
        <v>6434</v>
      </c>
      <c r="H9" s="13"/>
      <c r="I9" s="76" t="s">
        <v>1105</v>
      </c>
      <c r="J9" s="76">
        <v>55072</v>
      </c>
      <c r="K9" s="76">
        <v>95</v>
      </c>
      <c r="L9" s="76">
        <f>GETPIVOTDATA("Sum of Profit Amt.",$A$4,"Salesperson","26 - TINABEN")</f>
        <v>15413.65</v>
      </c>
      <c r="M9" s="76">
        <f>GETPIVOTDATA("Sum of Sales Qty.",$A$4,"Salesperson","26 - TINABEN")</f>
        <v>26</v>
      </c>
      <c r="N9" s="76">
        <f t="shared" si="0"/>
        <v>39658.35</v>
      </c>
      <c r="O9" s="76">
        <f t="shared" si="1"/>
        <v>69</v>
      </c>
      <c r="P9" s="76">
        <f t="shared" si="2"/>
        <v>2203.2416666666668</v>
      </c>
      <c r="Q9" s="76">
        <f t="shared" si="3"/>
        <v>3.8333333333333335</v>
      </c>
      <c r="S9" s="29"/>
      <c r="T9" s="14" t="s">
        <v>1105</v>
      </c>
      <c r="U9" s="4">
        <v>925000</v>
      </c>
      <c r="V9" s="4">
        <f>GETPIVOTDATA("Sum of Sales Value",$A$4,"Salesperson","26 - TINABEN")</f>
        <v>931069</v>
      </c>
      <c r="W9" s="4">
        <f t="shared" si="4"/>
        <v>-6069</v>
      </c>
    </row>
    <row r="10" spans="1:23" x14ac:dyDescent="0.25">
      <c r="A10" s="2" t="s">
        <v>1105</v>
      </c>
      <c r="B10">
        <v>931069</v>
      </c>
      <c r="C10">
        <v>26</v>
      </c>
      <c r="D10">
        <v>15413.65</v>
      </c>
      <c r="H10" s="13"/>
      <c r="I10" s="76" t="s">
        <v>717</v>
      </c>
      <c r="J10" s="76">
        <v>43478</v>
      </c>
      <c r="K10" s="76">
        <v>85</v>
      </c>
      <c r="L10" s="76">
        <f>GETPIVOTDATA("Sum of Profit Amt.",$A$4,"Salesperson","2 - DIPAK MAKWANA")</f>
        <v>6434</v>
      </c>
      <c r="M10" s="76">
        <f>GETPIVOTDATA("Sum of Sales Qty.",$A$4,"Salesperson","2 - DIPAK MAKWANA")</f>
        <v>20</v>
      </c>
      <c r="N10" s="76">
        <f t="shared" si="0"/>
        <v>37044</v>
      </c>
      <c r="O10" s="76">
        <f t="shared" si="1"/>
        <v>65</v>
      </c>
      <c r="P10" s="76">
        <f t="shared" si="2"/>
        <v>2058</v>
      </c>
      <c r="Q10" s="76">
        <f t="shared" si="3"/>
        <v>3.6111111111111112</v>
      </c>
      <c r="S10" s="29"/>
      <c r="T10" s="14" t="s">
        <v>717</v>
      </c>
      <c r="U10" s="4">
        <v>925000</v>
      </c>
      <c r="V10" s="4">
        <f>GETPIVOTDATA("Sum of Sales Value",$A$4,"Salesperson","2 - DIPAK MAKWANA")</f>
        <v>407514</v>
      </c>
      <c r="W10" s="4">
        <f t="shared" si="4"/>
        <v>517486</v>
      </c>
    </row>
    <row r="11" spans="1:23" x14ac:dyDescent="0.25">
      <c r="A11" s="2" t="s">
        <v>1155</v>
      </c>
      <c r="B11">
        <v>952056</v>
      </c>
      <c r="C11">
        <v>34</v>
      </c>
      <c r="D11">
        <v>17737</v>
      </c>
      <c r="H11" s="15" t="s">
        <v>1938</v>
      </c>
      <c r="I11" s="77" t="s">
        <v>350</v>
      </c>
      <c r="J11" s="77">
        <v>43480</v>
      </c>
      <c r="K11" s="77">
        <v>85</v>
      </c>
      <c r="L11" s="77">
        <f>GETPIVOTDATA("Sum of Profit Amt.",$A$4,"Salesperson","14 - NAKIB")</f>
        <v>4692</v>
      </c>
      <c r="M11" s="77">
        <f>GETPIVOTDATA("Sum of Sales Qty.",$A$4,"Salesperson","14 - NAKIB")</f>
        <v>18</v>
      </c>
      <c r="N11" s="77">
        <f t="shared" si="0"/>
        <v>38788</v>
      </c>
      <c r="O11" s="77">
        <f t="shared" si="1"/>
        <v>67</v>
      </c>
      <c r="P11" s="77">
        <f t="shared" si="2"/>
        <v>2154.8888888888887</v>
      </c>
      <c r="Q11" s="77">
        <f t="shared" si="3"/>
        <v>3.7222222222222223</v>
      </c>
      <c r="S11" s="30" t="s">
        <v>1938</v>
      </c>
      <c r="T11" s="16" t="s">
        <v>350</v>
      </c>
      <c r="U11" s="5">
        <v>925000</v>
      </c>
      <c r="V11" s="5">
        <f>GETPIVOTDATA("Sum of Sales Value",$A$4,"Salesperson","14 - NAKIB")</f>
        <v>469599</v>
      </c>
      <c r="W11" s="5">
        <f t="shared" si="4"/>
        <v>455401</v>
      </c>
    </row>
    <row r="12" spans="1:23" x14ac:dyDescent="0.25">
      <c r="A12" s="2" t="s">
        <v>1226</v>
      </c>
      <c r="B12">
        <v>1379827</v>
      </c>
      <c r="C12">
        <v>42</v>
      </c>
      <c r="D12">
        <v>33012.57</v>
      </c>
      <c r="H12" s="15"/>
      <c r="I12" s="77" t="s">
        <v>1672</v>
      </c>
      <c r="J12" s="77">
        <v>50725</v>
      </c>
      <c r="K12" s="77">
        <v>110</v>
      </c>
      <c r="L12" s="77">
        <f>GETPIVOTDATA("Sum of Profit Amt.",$A$4,"Salesperson","7 - MUSTUFA MAKVANA")</f>
        <v>10629</v>
      </c>
      <c r="M12" s="77">
        <f>GETPIVOTDATA("Sum of Sales Qty.",$A$4,"Salesperson","7 - MUSTUFA MAKVANA")</f>
        <v>30</v>
      </c>
      <c r="N12" s="77">
        <f t="shared" si="0"/>
        <v>40096</v>
      </c>
      <c r="O12" s="77">
        <f t="shared" si="1"/>
        <v>80</v>
      </c>
      <c r="P12" s="77">
        <f t="shared" si="2"/>
        <v>2227.5555555555557</v>
      </c>
      <c r="Q12" s="77">
        <f t="shared" si="3"/>
        <v>4.4444444444444446</v>
      </c>
      <c r="S12" s="30"/>
      <c r="T12" s="16" t="s">
        <v>1672</v>
      </c>
      <c r="U12" s="5">
        <v>925000</v>
      </c>
      <c r="V12" s="5">
        <f>GETPIVOTDATA("Sum of Sales Value",$A$4,"Salesperson","7 - MUSTUFA MAKVANA")</f>
        <v>731806</v>
      </c>
      <c r="W12" s="5">
        <f t="shared" si="4"/>
        <v>193194</v>
      </c>
    </row>
    <row r="13" spans="1:23" x14ac:dyDescent="0.25">
      <c r="A13" s="2" t="s">
        <v>1359</v>
      </c>
      <c r="B13">
        <v>962788</v>
      </c>
      <c r="C13">
        <v>31</v>
      </c>
      <c r="D13">
        <v>12554</v>
      </c>
      <c r="H13" s="17" t="s">
        <v>1939</v>
      </c>
      <c r="I13" s="78" t="s">
        <v>397</v>
      </c>
      <c r="J13" s="78">
        <v>65217</v>
      </c>
      <c r="K13" s="78">
        <v>110</v>
      </c>
      <c r="L13" s="78">
        <f>GETPIVOTDATA("Sum of Profit Amt.",$A$4,"Salesperson","15 - NIKUNJ JOSHI")</f>
        <v>16581</v>
      </c>
      <c r="M13" s="78">
        <f>GETPIVOTDATA("Sum of Sales Qty.",$A$4,"Salesperson","15 - NIKUNJ JOSHI")</f>
        <v>37</v>
      </c>
      <c r="N13" s="78">
        <f t="shared" si="0"/>
        <v>48636</v>
      </c>
      <c r="O13" s="78">
        <f t="shared" si="1"/>
        <v>73</v>
      </c>
      <c r="P13" s="78">
        <f t="shared" si="2"/>
        <v>2702</v>
      </c>
      <c r="Q13" s="78">
        <f t="shared" si="3"/>
        <v>4.0555555555555554</v>
      </c>
      <c r="S13" s="31" t="s">
        <v>1939</v>
      </c>
      <c r="T13" s="18" t="s">
        <v>397</v>
      </c>
      <c r="U13" s="6">
        <v>925000</v>
      </c>
      <c r="V13" s="6">
        <f>GETPIVOTDATA("Sum of Sales Value",$A$4,"Salesperson","15 - NIKUNJ JOSHI")</f>
        <v>805736</v>
      </c>
      <c r="W13" s="6">
        <f t="shared" si="4"/>
        <v>119264</v>
      </c>
    </row>
    <row r="14" spans="1:23" x14ac:dyDescent="0.25">
      <c r="A14" s="2" t="s">
        <v>1426</v>
      </c>
      <c r="B14">
        <v>1075988</v>
      </c>
      <c r="C14">
        <v>37</v>
      </c>
      <c r="D14">
        <v>3603</v>
      </c>
      <c r="H14" s="17"/>
      <c r="I14" s="78" t="s">
        <v>1498</v>
      </c>
      <c r="J14" s="78">
        <v>43478</v>
      </c>
      <c r="K14" s="78">
        <v>85</v>
      </c>
      <c r="L14" s="78">
        <f>GETPIVOTDATA("Sum of Profit Amt.",$A$4,"Salesperson","4 - MOIN SHAHMADAR")</f>
        <v>4856</v>
      </c>
      <c r="M14" s="78">
        <f>GETPIVOTDATA("Sum of Sales Qty.",$A$4,"Salesperson","4 - MOIN SHAHMADAR")</f>
        <v>44</v>
      </c>
      <c r="N14" s="78">
        <f t="shared" si="0"/>
        <v>38622</v>
      </c>
      <c r="O14" s="78">
        <f t="shared" si="1"/>
        <v>41</v>
      </c>
      <c r="P14" s="78">
        <f t="shared" si="2"/>
        <v>2145.6666666666665</v>
      </c>
      <c r="Q14" s="78">
        <f t="shared" si="3"/>
        <v>2.2777777777777777</v>
      </c>
      <c r="S14" s="31"/>
      <c r="T14" s="18" t="s">
        <v>1498</v>
      </c>
      <c r="U14" s="6">
        <v>925000</v>
      </c>
      <c r="V14" s="6">
        <v>0</v>
      </c>
      <c r="W14" s="6">
        <f t="shared" si="4"/>
        <v>925000</v>
      </c>
    </row>
    <row r="15" spans="1:23" x14ac:dyDescent="0.25">
      <c r="A15" s="2" t="s">
        <v>1498</v>
      </c>
      <c r="B15">
        <v>1029646</v>
      </c>
      <c r="C15">
        <v>44</v>
      </c>
      <c r="D15">
        <v>4856</v>
      </c>
      <c r="H15" s="19" t="s">
        <v>1940</v>
      </c>
      <c r="I15" s="79" t="s">
        <v>86</v>
      </c>
      <c r="J15" s="79">
        <v>65217</v>
      </c>
      <c r="K15" s="79">
        <v>115</v>
      </c>
      <c r="L15" s="79">
        <f>GETPIVOTDATA("Sum of Profit Amt.",$A$4,"Salesperson","1 - VINIT MANDAVIYA")</f>
        <v>27827.26</v>
      </c>
      <c r="M15" s="79">
        <f>GETPIVOTDATA("Sum of Sales Qty.",$A$4,"Salesperson","1 - VINIT MANDAVIYA")</f>
        <v>42</v>
      </c>
      <c r="N15" s="79">
        <f t="shared" si="0"/>
        <v>37389.740000000005</v>
      </c>
      <c r="O15" s="79">
        <f t="shared" si="1"/>
        <v>73</v>
      </c>
      <c r="P15" s="79">
        <f t="shared" si="2"/>
        <v>2077.2077777777781</v>
      </c>
      <c r="Q15" s="79">
        <f t="shared" si="3"/>
        <v>4.0555555555555554</v>
      </c>
      <c r="S15" s="32" t="s">
        <v>1940</v>
      </c>
      <c r="T15" s="20" t="s">
        <v>86</v>
      </c>
      <c r="U15" s="7">
        <v>925000</v>
      </c>
      <c r="V15" s="7">
        <f>GETPIVOTDATA("Sum of Sales Value",$A$4,"Salesperson","1 - VINIT MANDAVIYA")</f>
        <v>1669597</v>
      </c>
      <c r="W15" s="7">
        <f t="shared" si="4"/>
        <v>-744597</v>
      </c>
    </row>
    <row r="16" spans="1:23" x14ac:dyDescent="0.25">
      <c r="A16" s="2" t="s">
        <v>1588</v>
      </c>
      <c r="B16">
        <v>1321486</v>
      </c>
      <c r="C16">
        <v>41</v>
      </c>
      <c r="D16">
        <v>6565</v>
      </c>
      <c r="H16" s="19"/>
      <c r="I16" s="79" t="s">
        <v>1359</v>
      </c>
      <c r="J16" s="79">
        <v>50725</v>
      </c>
      <c r="K16" s="79">
        <v>110</v>
      </c>
      <c r="L16" s="79">
        <f>GETPIVOTDATA("Sum of Profit Amt.",$A$4,"Salesperson","32 - NIDHI MAKWANA")</f>
        <v>12554</v>
      </c>
      <c r="M16" s="79">
        <f>GETPIVOTDATA("Sum of Sales Qty.",$A$4,"Salesperson","32 - NIDHI MAKWANA")</f>
        <v>31</v>
      </c>
      <c r="N16" s="79">
        <f t="shared" si="0"/>
        <v>38171</v>
      </c>
      <c r="O16" s="79">
        <f t="shared" si="1"/>
        <v>79</v>
      </c>
      <c r="P16" s="79">
        <f t="shared" si="2"/>
        <v>2120.6111111111113</v>
      </c>
      <c r="Q16" s="79">
        <f t="shared" si="3"/>
        <v>4.3888888888888893</v>
      </c>
      <c r="S16" s="32"/>
      <c r="T16" s="20" t="s">
        <v>1359</v>
      </c>
      <c r="U16" s="7">
        <v>925000</v>
      </c>
      <c r="V16" s="7">
        <f>GETPIVOTDATA("Sum of Sales Value",$A$4,"Salesperson","32 - NIDHI MAKWANA")</f>
        <v>962788</v>
      </c>
      <c r="W16" s="7">
        <f t="shared" si="4"/>
        <v>-37788</v>
      </c>
    </row>
    <row r="17" spans="1:23" x14ac:dyDescent="0.25">
      <c r="A17" s="2" t="s">
        <v>1672</v>
      </c>
      <c r="B17">
        <v>731806</v>
      </c>
      <c r="C17">
        <v>30</v>
      </c>
      <c r="D17">
        <v>10629</v>
      </c>
      <c r="H17" s="21" t="s">
        <v>1941</v>
      </c>
      <c r="I17" s="80" t="s">
        <v>482</v>
      </c>
      <c r="J17" s="80">
        <v>65217</v>
      </c>
      <c r="K17" s="81">
        <v>130</v>
      </c>
      <c r="L17" s="80">
        <f>GETPIVOTDATA("Sum of Profit Amt.",$A$4,"Salesperson","16 - UMANG")</f>
        <v>35528</v>
      </c>
      <c r="M17" s="80">
        <f>GETPIVOTDATA("Sum of Sales Qty.",$A$4,"Salesperson","16 - UMANG")</f>
        <v>54</v>
      </c>
      <c r="N17" s="80">
        <f t="shared" si="0"/>
        <v>29689</v>
      </c>
      <c r="O17" s="80">
        <f t="shared" si="1"/>
        <v>76</v>
      </c>
      <c r="P17" s="80">
        <f t="shared" si="2"/>
        <v>1649.3888888888889</v>
      </c>
      <c r="Q17" s="80">
        <f t="shared" si="3"/>
        <v>4.2222222222222223</v>
      </c>
      <c r="S17" s="33" t="s">
        <v>1941</v>
      </c>
      <c r="T17" s="22" t="s">
        <v>482</v>
      </c>
      <c r="U17" s="8">
        <v>925000</v>
      </c>
      <c r="V17" s="8">
        <f>GETPIVOTDATA("Sum of Sales Value",$A$4,"Salesperson","16 - UMANG")</f>
        <v>1464621</v>
      </c>
      <c r="W17" s="8">
        <f t="shared" si="4"/>
        <v>-539621</v>
      </c>
    </row>
    <row r="18" spans="1:23" x14ac:dyDescent="0.25">
      <c r="A18" s="2" t="s">
        <v>1764</v>
      </c>
      <c r="B18">
        <v>1254310</v>
      </c>
      <c r="C18">
        <v>41</v>
      </c>
      <c r="D18">
        <v>-33575.31</v>
      </c>
      <c r="H18" s="24"/>
      <c r="I18" s="81" t="s">
        <v>1426</v>
      </c>
      <c r="J18" s="81">
        <v>43478</v>
      </c>
      <c r="K18" s="81">
        <v>105</v>
      </c>
      <c r="L18" s="80">
        <f>GETPIVOTDATA("Sum of Profit Amt.",$A$4,"Salesperson","34 - AVESH")</f>
        <v>3603</v>
      </c>
      <c r="M18" s="80">
        <f>GETPIVOTDATA("Sum of Sales Qty.",$A$4,"Salesperson","34 - AVESH")</f>
        <v>37</v>
      </c>
      <c r="N18" s="80">
        <f t="shared" si="0"/>
        <v>39875</v>
      </c>
      <c r="O18" s="80">
        <f t="shared" si="1"/>
        <v>68</v>
      </c>
      <c r="P18" s="80">
        <f t="shared" si="2"/>
        <v>2215.2777777777778</v>
      </c>
      <c r="Q18" s="80">
        <f t="shared" si="3"/>
        <v>3.7777777777777777</v>
      </c>
      <c r="S18" s="35"/>
      <c r="T18" s="23" t="s">
        <v>1426</v>
      </c>
      <c r="U18" s="9">
        <v>925000</v>
      </c>
      <c r="V18" s="9">
        <v>0</v>
      </c>
      <c r="W18" s="9">
        <f t="shared" si="4"/>
        <v>925000</v>
      </c>
    </row>
    <row r="19" spans="1:23" x14ac:dyDescent="0.25">
      <c r="A19" s="2" t="s">
        <v>1918</v>
      </c>
      <c r="B19">
        <v>14456043</v>
      </c>
      <c r="C19">
        <v>497</v>
      </c>
      <c r="D19">
        <v>161857.16999999998</v>
      </c>
      <c r="H19" s="25" t="s">
        <v>1942</v>
      </c>
      <c r="I19" s="82"/>
      <c r="J19" s="83">
        <f>SUBTOTAL(109,J6:J18)</f>
        <v>700000</v>
      </c>
      <c r="K19" s="83">
        <f t="shared" ref="K19:Q19" si="5">SUBTOTAL(109,K6:K18)</f>
        <v>1345</v>
      </c>
      <c r="L19" s="83">
        <f t="shared" si="5"/>
        <v>195432.48</v>
      </c>
      <c r="M19" s="83">
        <f t="shared" si="5"/>
        <v>456</v>
      </c>
      <c r="N19" s="83">
        <f t="shared" si="5"/>
        <v>504567.52</v>
      </c>
      <c r="O19" s="83">
        <f t="shared" si="5"/>
        <v>889</v>
      </c>
      <c r="P19" s="83">
        <f t="shared" si="5"/>
        <v>28031.528888888894</v>
      </c>
      <c r="Q19" s="83">
        <f t="shared" si="5"/>
        <v>49.3888888888889</v>
      </c>
      <c r="S19" s="36" t="s">
        <v>1942</v>
      </c>
      <c r="T19" s="36"/>
      <c r="U19" s="37">
        <f>SUM(U6:U18)</f>
        <v>12025000</v>
      </c>
      <c r="V19" s="37">
        <f>SUM(V6:V18)</f>
        <v>11096099</v>
      </c>
      <c r="W19" s="37">
        <f t="shared" ref="W19" si="6">SUM(W6:W18)</f>
        <v>928901</v>
      </c>
    </row>
    <row r="21" spans="1:23" ht="15.75" thickBot="1" x14ac:dyDescent="0.3"/>
    <row r="22" spans="1:23" ht="29.25" thickBot="1" x14ac:dyDescent="0.5">
      <c r="H22" s="90" t="s">
        <v>2094</v>
      </c>
      <c r="I22" s="91"/>
      <c r="J22" s="91"/>
      <c r="K22" s="91"/>
      <c r="L22" s="91"/>
      <c r="M22" s="91"/>
      <c r="N22" s="91"/>
      <c r="O22" s="91"/>
      <c r="P22" s="92"/>
      <c r="Q22" s="42"/>
      <c r="R22" s="42"/>
      <c r="S22" s="93" t="s">
        <v>1948</v>
      </c>
      <c r="T22" s="94"/>
      <c r="U22" s="94"/>
      <c r="V22" s="95"/>
    </row>
    <row r="23" spans="1:23" ht="28.5" x14ac:dyDescent="0.45">
      <c r="H23" s="60" t="s">
        <v>1924</v>
      </c>
      <c r="I23" s="61" t="s">
        <v>1925</v>
      </c>
      <c r="J23" s="61" t="s">
        <v>1926</v>
      </c>
      <c r="K23" s="61" t="s">
        <v>1928</v>
      </c>
      <c r="L23" s="61" t="s">
        <v>1929</v>
      </c>
      <c r="M23" s="61" t="s">
        <v>1930</v>
      </c>
      <c r="N23" s="61" t="s">
        <v>1931</v>
      </c>
      <c r="O23" s="61" t="s">
        <v>1943</v>
      </c>
      <c r="P23" s="62" t="s">
        <v>1935</v>
      </c>
      <c r="Q23"/>
      <c r="S23" s="70" t="s">
        <v>1924</v>
      </c>
      <c r="T23" s="70" t="s">
        <v>1927</v>
      </c>
      <c r="U23" s="70" t="s">
        <v>1932</v>
      </c>
      <c r="V23" s="70" t="s">
        <v>1933</v>
      </c>
    </row>
    <row r="24" spans="1:23" ht="28.5" x14ac:dyDescent="0.45">
      <c r="H24" s="63" t="s">
        <v>11</v>
      </c>
      <c r="I24" s="64">
        <v>36912</v>
      </c>
      <c r="J24" s="65">
        <v>80</v>
      </c>
      <c r="K24" s="65" t="e">
        <f>GETPIVOTDATA("Sum of Profit Amt.",Sheet3!$A$4,"Salesperson","1 - CHIRAG PATHAK")</f>
        <v>#REF!</v>
      </c>
      <c r="L24" s="65" t="e">
        <f>GETPIVOTDATA("Sum of Sales Qty.",$A$4,"Salesperson","1 - CHIRAG PATHAK")</f>
        <v>#REF!</v>
      </c>
      <c r="M24" s="65" t="e">
        <f t="shared" ref="M24:N28" si="7">I24-K24</f>
        <v>#REF!</v>
      </c>
      <c r="N24" s="65" t="e">
        <f t="shared" si="7"/>
        <v>#REF!</v>
      </c>
      <c r="O24" s="65" t="e">
        <f t="shared" ref="O24:P28" si="8">M24/18</f>
        <v>#REF!</v>
      </c>
      <c r="P24" s="66" t="e">
        <f t="shared" si="8"/>
        <v>#REF!</v>
      </c>
      <c r="Q24"/>
      <c r="S24" s="60" t="s">
        <v>11</v>
      </c>
      <c r="T24" s="60">
        <v>720000</v>
      </c>
      <c r="U24" s="60">
        <v>0</v>
      </c>
      <c r="V24" s="60">
        <f>T24-U24</f>
        <v>720000</v>
      </c>
    </row>
    <row r="25" spans="1:23" ht="28.5" x14ac:dyDescent="0.45">
      <c r="H25" s="63" t="s">
        <v>196</v>
      </c>
      <c r="I25" s="65">
        <v>98560</v>
      </c>
      <c r="J25" s="65">
        <v>135</v>
      </c>
      <c r="K25" s="65" t="e">
        <f>GETPIVOTDATA("Sum of Profit Amt.",Sheet3!$A$4,"Salesperson","13 - Hemang")</f>
        <v>#REF!</v>
      </c>
      <c r="L25" s="65" t="e">
        <f>GETPIVOTDATA("Sum of Sales Qty.",$A$4,"Salesperson","13 - Hemang")</f>
        <v>#REF!</v>
      </c>
      <c r="M25" s="65" t="e">
        <f t="shared" si="7"/>
        <v>#REF!</v>
      </c>
      <c r="N25" s="65" t="e">
        <f t="shared" si="7"/>
        <v>#REF!</v>
      </c>
      <c r="O25" s="65" t="e">
        <f t="shared" si="8"/>
        <v>#REF!</v>
      </c>
      <c r="P25" s="66" t="e">
        <f t="shared" si="8"/>
        <v>#REF!</v>
      </c>
      <c r="Q25"/>
      <c r="S25" s="60" t="s">
        <v>196</v>
      </c>
      <c r="T25" s="60">
        <v>720000</v>
      </c>
      <c r="U25" s="60" t="e">
        <f>GETPIVOTDATA("Sum of Sales Value",$A$4,"Salesperson","13 - Hemang")</f>
        <v>#REF!</v>
      </c>
      <c r="V25" s="60" t="e">
        <f t="shared" ref="V25:V28" si="9">T25-U25</f>
        <v>#REF!</v>
      </c>
    </row>
    <row r="26" spans="1:23" ht="28.5" x14ac:dyDescent="0.45">
      <c r="H26" s="63" t="s">
        <v>608</v>
      </c>
      <c r="I26" s="65">
        <v>43120</v>
      </c>
      <c r="J26" s="65">
        <v>105</v>
      </c>
      <c r="K26" s="65" t="e">
        <f>GETPIVOTDATA("Sum of Profit Amt.",Sheet3!$A$4,"Salesperson","2 - BHARGAV")</f>
        <v>#REF!</v>
      </c>
      <c r="L26" s="65" t="e">
        <f>GETPIVOTDATA("Sum of Sales Qty.",$A$4,"Salesperson","2 - BHARGAV")</f>
        <v>#REF!</v>
      </c>
      <c r="M26" s="65" t="e">
        <f t="shared" si="7"/>
        <v>#REF!</v>
      </c>
      <c r="N26" s="65" t="e">
        <f t="shared" si="7"/>
        <v>#REF!</v>
      </c>
      <c r="O26" s="65" t="e">
        <f t="shared" si="8"/>
        <v>#REF!</v>
      </c>
      <c r="P26" s="66" t="e">
        <f t="shared" si="8"/>
        <v>#REF!</v>
      </c>
      <c r="Q26"/>
      <c r="S26" s="60" t="s">
        <v>608</v>
      </c>
      <c r="T26" s="60">
        <v>720000</v>
      </c>
      <c r="U26" s="60" t="e">
        <f>GETPIVOTDATA("Sum of Sales Value",$A$4,"Salesperson","2 - BHARGAV")</f>
        <v>#REF!</v>
      </c>
      <c r="V26" s="60" t="e">
        <f t="shared" si="9"/>
        <v>#REF!</v>
      </c>
    </row>
    <row r="27" spans="1:23" ht="28.5" x14ac:dyDescent="0.45">
      <c r="H27" s="63" t="s">
        <v>1308</v>
      </c>
      <c r="I27" s="65">
        <v>34496</v>
      </c>
      <c r="J27" s="65">
        <v>80</v>
      </c>
      <c r="K27" s="65" t="e">
        <f>GETPIVOTDATA("Sum of Profit Amt.",Sheet3!$A$4,"Salesperson","30-DHRUV ODEDRA")</f>
        <v>#REF!</v>
      </c>
      <c r="L27" s="65" t="e">
        <f>GETPIVOTDATA("Sum of Sales Qty.",$A$4,"Salesperson","30-DHRUV ODEDRA")</f>
        <v>#REF!</v>
      </c>
      <c r="M27" s="65" t="e">
        <f t="shared" si="7"/>
        <v>#REF!</v>
      </c>
      <c r="N27" s="65" t="e">
        <f t="shared" si="7"/>
        <v>#REF!</v>
      </c>
      <c r="O27" s="65" t="e">
        <f t="shared" si="8"/>
        <v>#REF!</v>
      </c>
      <c r="P27" s="66" t="e">
        <f t="shared" si="8"/>
        <v>#REF!</v>
      </c>
      <c r="Q27"/>
      <c r="S27" s="60" t="s">
        <v>1308</v>
      </c>
      <c r="T27" s="60">
        <v>720000</v>
      </c>
      <c r="U27" s="60" t="e">
        <f>GETPIVOTDATA("Sum of Sales Value",$A$4,"Salesperson","30-DHRUV ODEDRA")</f>
        <v>#REF!</v>
      </c>
      <c r="V27" s="60" t="e">
        <f t="shared" si="9"/>
        <v>#REF!</v>
      </c>
    </row>
    <row r="28" spans="1:23" ht="28.5" x14ac:dyDescent="0.45">
      <c r="H28" s="63" t="s">
        <v>1730</v>
      </c>
      <c r="I28" s="65">
        <v>36912</v>
      </c>
      <c r="J28" s="65">
        <v>80</v>
      </c>
      <c r="K28" s="65" t="e">
        <f>GETPIVOTDATA("Sum of Profit Amt.",Sheet3!$A$4,"Salesperson","9 - SAHID")</f>
        <v>#REF!</v>
      </c>
      <c r="L28" s="65" t="e">
        <f>GETPIVOTDATA("Sum of Sales Qty.",$A$4,"Salesperson","9 - SAHID")</f>
        <v>#REF!</v>
      </c>
      <c r="M28" s="65" t="e">
        <f t="shared" si="7"/>
        <v>#REF!</v>
      </c>
      <c r="N28" s="65" t="e">
        <f t="shared" si="7"/>
        <v>#REF!</v>
      </c>
      <c r="O28" s="65" t="e">
        <f t="shared" si="8"/>
        <v>#REF!</v>
      </c>
      <c r="P28" s="66" t="e">
        <f t="shared" si="8"/>
        <v>#REF!</v>
      </c>
      <c r="Q28"/>
      <c r="S28" s="60" t="s">
        <v>1730</v>
      </c>
      <c r="T28" s="60">
        <v>720000</v>
      </c>
      <c r="U28" s="60">
        <v>0</v>
      </c>
      <c r="V28" s="60">
        <f t="shared" si="9"/>
        <v>720000</v>
      </c>
    </row>
    <row r="29" spans="1:23" ht="29.25" thickBot="1" x14ac:dyDescent="0.5">
      <c r="H29" s="67" t="s">
        <v>1942</v>
      </c>
      <c r="I29" s="68">
        <f>SUM(I24:I28)</f>
        <v>250000</v>
      </c>
      <c r="J29" s="68">
        <f t="shared" ref="J29:P29" si="10">SUM(J24:J28)</f>
        <v>480</v>
      </c>
      <c r="K29" s="68" t="e">
        <f t="shared" si="10"/>
        <v>#REF!</v>
      </c>
      <c r="L29" s="68" t="e">
        <f>SUM(L24:L28)</f>
        <v>#REF!</v>
      </c>
      <c r="M29" s="68" t="e">
        <f t="shared" si="10"/>
        <v>#REF!</v>
      </c>
      <c r="N29" s="68" t="e">
        <f t="shared" si="10"/>
        <v>#REF!</v>
      </c>
      <c r="O29" s="68" t="e">
        <f t="shared" si="10"/>
        <v>#REF!</v>
      </c>
      <c r="P29" s="69" t="e">
        <f t="shared" si="10"/>
        <v>#REF!</v>
      </c>
      <c r="Q29"/>
      <c r="S29" s="70" t="s">
        <v>1942</v>
      </c>
      <c r="T29" s="70">
        <f>SUM(T24:T28)</f>
        <v>3600000</v>
      </c>
      <c r="U29" s="70" t="e">
        <f>SUM(U24:U28)</f>
        <v>#REF!</v>
      </c>
      <c r="V29" s="70" t="e">
        <f>SUM(V24:V28)</f>
        <v>#REF!</v>
      </c>
    </row>
    <row r="31" spans="1:23" ht="15.75" thickBot="1" x14ac:dyDescent="0.3"/>
    <row r="32" spans="1:23" ht="24" thickBot="1" x14ac:dyDescent="0.4">
      <c r="H32" s="84" t="s">
        <v>2095</v>
      </c>
      <c r="I32" s="85"/>
      <c r="J32" s="85"/>
      <c r="K32" s="85"/>
      <c r="L32" s="85"/>
      <c r="M32" s="85"/>
      <c r="N32" s="85"/>
      <c r="O32" s="85"/>
      <c r="P32" s="86"/>
      <c r="S32" s="84" t="s">
        <v>2096</v>
      </c>
      <c r="T32" s="85"/>
      <c r="U32" s="85"/>
      <c r="V32" s="86"/>
    </row>
    <row r="33" spans="8:22" x14ac:dyDescent="0.25">
      <c r="H33" s="50" t="s">
        <v>1924</v>
      </c>
      <c r="I33" s="26" t="s">
        <v>1925</v>
      </c>
      <c r="J33" s="26" t="s">
        <v>1926</v>
      </c>
      <c r="K33" s="26" t="s">
        <v>1928</v>
      </c>
      <c r="L33" s="26" t="s">
        <v>1929</v>
      </c>
      <c r="M33" s="26" t="s">
        <v>1930</v>
      </c>
      <c r="N33" s="26" t="s">
        <v>1931</v>
      </c>
      <c r="O33" s="26" t="s">
        <v>1943</v>
      </c>
      <c r="P33" s="51" t="s">
        <v>1935</v>
      </c>
      <c r="S33" s="50" t="s">
        <v>1924</v>
      </c>
      <c r="T33" s="26" t="s">
        <v>1927</v>
      </c>
      <c r="U33" s="26" t="s">
        <v>1932</v>
      </c>
      <c r="V33" s="51" t="s">
        <v>1933</v>
      </c>
    </row>
    <row r="34" spans="8:22" x14ac:dyDescent="0.25">
      <c r="H34" s="52" t="s">
        <v>763</v>
      </c>
      <c r="I34" s="48">
        <f>VLOOKUP(H34,[1]Sheet1!$B$3:$H$10,2,0)</f>
        <v>105000</v>
      </c>
      <c r="J34" s="48">
        <f>VLOOKUP(H34,[1]Sheet1!$B$3:$H$10,3,0)</f>
        <v>110</v>
      </c>
      <c r="K34" s="49" t="e">
        <f>GETPIVOTDATA("Sum of Profit Amt.",$A$4,"Salesperson","2005-VISHALBHAI")</f>
        <v>#REF!</v>
      </c>
      <c r="L34" s="49" t="e">
        <f>GETPIVOTDATA("Sum of Sales Qty.",$A$4,"Salesperson","2005-VISHALBHAI")</f>
        <v>#REF!</v>
      </c>
      <c r="M34" s="48" t="e">
        <f>I34-K34</f>
        <v>#REF!</v>
      </c>
      <c r="N34" s="48" t="e">
        <f>J34-L34</f>
        <v>#REF!</v>
      </c>
      <c r="O34" s="48" t="e">
        <f>M34/18</f>
        <v>#REF!</v>
      </c>
      <c r="P34" s="53" t="e">
        <f>N34/18</f>
        <v>#REF!</v>
      </c>
      <c r="S34" s="52" t="s">
        <v>763</v>
      </c>
      <c r="T34" s="47">
        <v>720000</v>
      </c>
      <c r="U34" s="47">
        <v>0</v>
      </c>
      <c r="V34" s="56">
        <f>T34-U34</f>
        <v>720000</v>
      </c>
    </row>
    <row r="35" spans="8:22" x14ac:dyDescent="0.25">
      <c r="H35" s="52" t="s">
        <v>831</v>
      </c>
      <c r="I35" s="48">
        <f>VLOOKUP(H35,[1]Sheet1!$B$3:$H$10,2,0)</f>
        <v>75000</v>
      </c>
      <c r="J35" s="48">
        <f>VLOOKUP(H35,[1]Sheet1!$B$3:$H$10,3,0)</f>
        <v>95</v>
      </c>
      <c r="K35" s="49" t="e">
        <f>GETPIVOTDATA("Sum of Profit Amt.",$A$4,"Salesperson","2008-SAHILBHAI")</f>
        <v>#REF!</v>
      </c>
      <c r="L35" s="49" t="e">
        <f>GETPIVOTDATA("Sum of Sales Qty.",$A$4,"Salesperson","2008-SAHILBHAI")</f>
        <v>#REF!</v>
      </c>
      <c r="M35" s="48" t="e">
        <f t="shared" ref="M35:M40" si="11">I35-K35</f>
        <v>#REF!</v>
      </c>
      <c r="N35" s="48" t="e">
        <f t="shared" ref="N35:N40" si="12">J35-L35</f>
        <v>#REF!</v>
      </c>
      <c r="O35" s="48" t="e">
        <f t="shared" ref="O35:O40" si="13">M35/18</f>
        <v>#REF!</v>
      </c>
      <c r="P35" s="53" t="e">
        <f t="shared" ref="P35:P40" si="14">N35/18</f>
        <v>#REF!</v>
      </c>
      <c r="S35" s="52" t="s">
        <v>831</v>
      </c>
      <c r="T35" s="47">
        <v>720000</v>
      </c>
      <c r="U35" s="47" t="e">
        <f>GETPIVOTDATA("Sum of Sales Value",$A$4,"Salesperson","2008-SAHILBHAI")</f>
        <v>#REF!</v>
      </c>
      <c r="V35" s="56" t="e">
        <f t="shared" ref="V35:V40" si="15">T35-U35</f>
        <v>#REF!</v>
      </c>
    </row>
    <row r="36" spans="8:22" x14ac:dyDescent="0.25">
      <c r="H36" s="52" t="s">
        <v>874</v>
      </c>
      <c r="I36" s="48">
        <f>VLOOKUP(H36,[1]Sheet1!$B$3:$H$10,2,0)</f>
        <v>60000</v>
      </c>
      <c r="J36" s="48">
        <f>VLOOKUP(H36,[1]Sheet1!$B$3:$H$10,3,0)</f>
        <v>85</v>
      </c>
      <c r="K36" s="49" t="e">
        <f>GETPIVOTDATA("Sum of Profit Amt.",$A$4,"Salesperson","2009 - SAHIL M.")</f>
        <v>#REF!</v>
      </c>
      <c r="L36" s="49" t="e">
        <f>GETPIVOTDATA("Sum of Sales Qty.",$A$4,"Salesperson","2009 - SAHIL M.")</f>
        <v>#REF!</v>
      </c>
      <c r="M36" s="48" t="e">
        <f t="shared" si="11"/>
        <v>#REF!</v>
      </c>
      <c r="N36" s="48" t="e">
        <f t="shared" si="12"/>
        <v>#REF!</v>
      </c>
      <c r="O36" s="48" t="e">
        <f t="shared" si="13"/>
        <v>#REF!</v>
      </c>
      <c r="P36" s="53" t="e">
        <f t="shared" si="14"/>
        <v>#REF!</v>
      </c>
      <c r="S36" s="52" t="s">
        <v>874</v>
      </c>
      <c r="T36" s="47">
        <v>720000</v>
      </c>
      <c r="U36" s="47">
        <v>0</v>
      </c>
      <c r="V36" s="56">
        <f t="shared" si="15"/>
        <v>720000</v>
      </c>
    </row>
    <row r="37" spans="8:22" x14ac:dyDescent="0.25">
      <c r="H37" s="52" t="s">
        <v>916</v>
      </c>
      <c r="I37" s="48">
        <f>VLOOKUP(H37,[1]Sheet1!$B$3:$H$10,2,0)</f>
        <v>75000</v>
      </c>
      <c r="J37" s="48">
        <f>VLOOKUP(H37,[1]Sheet1!$B$3:$H$10,3,0)</f>
        <v>90</v>
      </c>
      <c r="K37" s="49" t="e">
        <f>GETPIVOTDATA("Sum of Profit Amt.",$A$4,"Salesperson","2020 - FAIZAL")</f>
        <v>#REF!</v>
      </c>
      <c r="L37" s="49" t="e">
        <f>GETPIVOTDATA("Sum of Sales Qty.",$A$4,"Salesperson","2020 - FAIZAL")</f>
        <v>#REF!</v>
      </c>
      <c r="M37" s="48" t="e">
        <f t="shared" si="11"/>
        <v>#REF!</v>
      </c>
      <c r="N37" s="48" t="e">
        <f t="shared" si="12"/>
        <v>#REF!</v>
      </c>
      <c r="O37" s="48" t="e">
        <f t="shared" si="13"/>
        <v>#REF!</v>
      </c>
      <c r="P37" s="53" t="e">
        <f t="shared" si="14"/>
        <v>#REF!</v>
      </c>
      <c r="S37" s="52" t="s">
        <v>916</v>
      </c>
      <c r="T37" s="47">
        <v>720000</v>
      </c>
      <c r="U37" s="47" t="e">
        <f>GETPIVOTDATA("Sum of Sales Value",$A$4,"Salesperson","2020 - FAIZAL")</f>
        <v>#REF!</v>
      </c>
      <c r="V37" s="56" t="e">
        <f t="shared" si="15"/>
        <v>#REF!</v>
      </c>
    </row>
    <row r="38" spans="8:22" x14ac:dyDescent="0.25">
      <c r="H38" s="52" t="s">
        <v>958</v>
      </c>
      <c r="I38" s="48">
        <f>VLOOKUP(H38,[1]Sheet1!$B$3:$H$10,2,0)</f>
        <v>80000</v>
      </c>
      <c r="J38" s="48">
        <f>VLOOKUP(H38,[1]Sheet1!$B$3:$H$10,3,0)</f>
        <v>95</v>
      </c>
      <c r="K38" s="49" t="e">
        <f>GETPIVOTDATA("Sum of Profit Amt.",$A$4,"Salesperson","2024-HITARTH GOSAI")</f>
        <v>#REF!</v>
      </c>
      <c r="L38" s="49" t="e">
        <f>GETPIVOTDATA("Sum of Sales Qty.",$A$4,"Salesperson","2024-HITARTH GOSAI")</f>
        <v>#REF!</v>
      </c>
      <c r="M38" s="48" t="e">
        <f t="shared" si="11"/>
        <v>#REF!</v>
      </c>
      <c r="N38" s="48" t="e">
        <f t="shared" si="12"/>
        <v>#REF!</v>
      </c>
      <c r="O38" s="48" t="e">
        <f t="shared" si="13"/>
        <v>#REF!</v>
      </c>
      <c r="P38" s="53" t="e">
        <f t="shared" si="14"/>
        <v>#REF!</v>
      </c>
      <c r="S38" s="52" t="s">
        <v>958</v>
      </c>
      <c r="T38" s="47">
        <v>720000</v>
      </c>
      <c r="U38" s="47" t="e">
        <f>GETPIVOTDATA("Sum of Sales Value",$A$4,"Salesperson","2024-HITARTH GOSAI")</f>
        <v>#REF!</v>
      </c>
      <c r="V38" s="56" t="e">
        <f t="shared" si="15"/>
        <v>#REF!</v>
      </c>
    </row>
    <row r="39" spans="8:22" x14ac:dyDescent="0.25">
      <c r="H39" s="52" t="s">
        <v>1009</v>
      </c>
      <c r="I39" s="48">
        <f>VLOOKUP(H39,[1]Sheet1!$B$3:$H$10,2,0)</f>
        <v>62000</v>
      </c>
      <c r="J39" s="48">
        <f>VLOOKUP(H39,[1]Sheet1!$B$3:$H$10,3,0)</f>
        <v>85</v>
      </c>
      <c r="K39" s="49" t="e">
        <f>GETPIVOTDATA("Sum of Profit Amt.",$A$4,"Salesperson","2025 - Jayesh katariya")</f>
        <v>#REF!</v>
      </c>
      <c r="L39" s="49" t="e">
        <f>GETPIVOTDATA("Sum of Sales Qty.",$A$4,"Salesperson","2025 - Jayesh katariya")</f>
        <v>#REF!</v>
      </c>
      <c r="M39" s="48" t="e">
        <f t="shared" si="11"/>
        <v>#REF!</v>
      </c>
      <c r="N39" s="48" t="e">
        <f t="shared" si="12"/>
        <v>#REF!</v>
      </c>
      <c r="O39" s="48" t="e">
        <f t="shared" si="13"/>
        <v>#REF!</v>
      </c>
      <c r="P39" s="53" t="e">
        <f t="shared" si="14"/>
        <v>#REF!</v>
      </c>
      <c r="S39" s="52" t="s">
        <v>1009</v>
      </c>
      <c r="T39" s="47">
        <v>720000</v>
      </c>
      <c r="U39" s="47" t="e">
        <f>GETPIVOTDATA("Sum of Sales Value",$A$4,"Salesperson","2025 - Jayesh katariya")</f>
        <v>#REF!</v>
      </c>
      <c r="V39" s="56" t="e">
        <f t="shared" si="15"/>
        <v>#REF!</v>
      </c>
    </row>
    <row r="40" spans="8:22" x14ac:dyDescent="0.25">
      <c r="H40" s="52" t="s">
        <v>1061</v>
      </c>
      <c r="I40" s="48">
        <f>VLOOKUP(H40,[1]Sheet1!$B$3:$H$10,2,0)</f>
        <v>50000</v>
      </c>
      <c r="J40" s="48">
        <f>VLOOKUP(H40,[1]Sheet1!$B$3:$H$10,3,0)</f>
        <v>85</v>
      </c>
      <c r="K40" s="49" t="e">
        <f>GETPIVOTDATA("Sum of Profit Amt.",$A$4,"Salesperson","2026 - ATIK")</f>
        <v>#REF!</v>
      </c>
      <c r="L40" s="49" t="e">
        <f>GETPIVOTDATA("Sum of Sales Qty.",$A$4,"Salesperson","2026 - ATIK")</f>
        <v>#REF!</v>
      </c>
      <c r="M40" s="48" t="e">
        <f t="shared" si="11"/>
        <v>#REF!</v>
      </c>
      <c r="N40" s="48" t="e">
        <f t="shared" si="12"/>
        <v>#REF!</v>
      </c>
      <c r="O40" s="48" t="e">
        <f t="shared" si="13"/>
        <v>#REF!</v>
      </c>
      <c r="P40" s="53" t="e">
        <f t="shared" si="14"/>
        <v>#REF!</v>
      </c>
      <c r="S40" s="52" t="s">
        <v>1061</v>
      </c>
      <c r="T40" s="47">
        <v>720000</v>
      </c>
      <c r="U40" s="47" t="e">
        <f>GETPIVOTDATA("Sum of Sales Value",$A$4,"Salesperson","2026 - ATIK")</f>
        <v>#REF!</v>
      </c>
      <c r="V40" s="56" t="e">
        <f t="shared" si="15"/>
        <v>#REF!</v>
      </c>
    </row>
    <row r="41" spans="8:22" ht="15.75" thickBot="1" x14ac:dyDescent="0.3">
      <c r="H41" s="54" t="s">
        <v>1942</v>
      </c>
      <c r="I41" s="55">
        <f>SUM(I34:I40)</f>
        <v>507000</v>
      </c>
      <c r="J41" s="55">
        <f t="shared" ref="J41:P41" si="16">SUM(J34:J40)</f>
        <v>645</v>
      </c>
      <c r="K41" s="55" t="e">
        <f t="shared" si="16"/>
        <v>#REF!</v>
      </c>
      <c r="L41" s="55" t="e">
        <f t="shared" si="16"/>
        <v>#REF!</v>
      </c>
      <c r="M41" s="55" t="e">
        <f t="shared" si="16"/>
        <v>#REF!</v>
      </c>
      <c r="N41" s="55" t="e">
        <f t="shared" si="16"/>
        <v>#REF!</v>
      </c>
      <c r="O41" s="55" t="e">
        <f t="shared" si="16"/>
        <v>#REF!</v>
      </c>
      <c r="P41" s="55" t="e">
        <f t="shared" si="16"/>
        <v>#REF!</v>
      </c>
      <c r="S41" s="57" t="s">
        <v>1942</v>
      </c>
      <c r="T41" s="58">
        <f>SUM(T34:T40)</f>
        <v>5040000</v>
      </c>
      <c r="U41" s="58" t="e">
        <f t="shared" ref="U41:V41" si="17">SUM(U34:U40)</f>
        <v>#REF!</v>
      </c>
      <c r="V41" s="59" t="e">
        <f t="shared" si="17"/>
        <v>#REF!</v>
      </c>
    </row>
  </sheetData>
  <mergeCells count="6">
    <mergeCell ref="H32:P32"/>
    <mergeCell ref="S32:V32"/>
    <mergeCell ref="H4:Q4"/>
    <mergeCell ref="H22:P22"/>
    <mergeCell ref="S22:V22"/>
    <mergeCell ref="S4:W4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6"/>
  <sheetViews>
    <sheetView tabSelected="1" zoomScale="115" zoomScaleNormal="115" workbookViewId="0"/>
  </sheetViews>
  <sheetFormatPr defaultRowHeight="15" x14ac:dyDescent="0.25"/>
  <cols>
    <col min="1" max="1" width="27.42578125" style="40" bestFit="1" customWidth="1"/>
    <col min="2" max="2" width="35.140625" style="40" bestFit="1" customWidth="1"/>
    <col min="3" max="3" width="16.28515625" style="40" bestFit="1" customWidth="1"/>
    <col min="4" max="4" width="13.42578125" style="40" bestFit="1" customWidth="1"/>
    <col min="5" max="5" width="11.7109375" style="40" bestFit="1" customWidth="1"/>
    <col min="6" max="6" width="68.140625" style="40" bestFit="1" customWidth="1"/>
    <col min="7" max="7" width="12" style="40" bestFit="1" customWidth="1"/>
    <col min="8" max="8" width="13.42578125" style="40" bestFit="1" customWidth="1"/>
    <col min="9" max="9" width="18.5703125" style="40" bestFit="1" customWidth="1"/>
    <col min="10" max="10" width="20.140625" style="40" bestFit="1" customWidth="1"/>
    <col min="11" max="11" width="18.42578125" style="40" bestFit="1" customWidth="1"/>
    <col min="12" max="12" width="18" style="40" bestFit="1" customWidth="1"/>
    <col min="13" max="13" width="13" style="40" bestFit="1" customWidth="1"/>
    <col min="14" max="16384" width="9.140625" style="40"/>
  </cols>
  <sheetData>
    <row r="1" spans="1:13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1" t="s">
        <v>1944</v>
      </c>
      <c r="J1" s="41" t="s">
        <v>1945</v>
      </c>
      <c r="K1" s="41" t="s">
        <v>8</v>
      </c>
      <c r="L1" s="41" t="s">
        <v>9</v>
      </c>
      <c r="M1" s="41" t="s">
        <v>10</v>
      </c>
    </row>
    <row r="2" spans="1:13" x14ac:dyDescent="0.25">
      <c r="A2" s="40" t="s">
        <v>11</v>
      </c>
      <c r="B2" s="40" t="s">
        <v>27</v>
      </c>
      <c r="C2" s="40" t="s">
        <v>13</v>
      </c>
      <c r="D2" s="40" t="s">
        <v>14</v>
      </c>
      <c r="E2" s="40" t="s">
        <v>15</v>
      </c>
      <c r="F2" s="40" t="s">
        <v>16</v>
      </c>
      <c r="G2" s="41">
        <v>1</v>
      </c>
      <c r="H2" s="41">
        <v>13000</v>
      </c>
      <c r="I2" s="41">
        <v>0</v>
      </c>
      <c r="J2" s="41">
        <v>0</v>
      </c>
      <c r="K2" s="41">
        <v>13379</v>
      </c>
      <c r="L2" s="41" t="s">
        <v>17</v>
      </c>
      <c r="M2" s="41">
        <v>-379</v>
      </c>
    </row>
    <row r="3" spans="1:13" x14ac:dyDescent="0.25">
      <c r="A3" s="40" t="s">
        <v>11</v>
      </c>
      <c r="B3" s="40" t="s">
        <v>27</v>
      </c>
      <c r="C3" s="40" t="s">
        <v>18</v>
      </c>
      <c r="D3" s="40" t="s">
        <v>19</v>
      </c>
      <c r="E3" s="40" t="s">
        <v>15</v>
      </c>
      <c r="F3" s="40" t="s">
        <v>20</v>
      </c>
      <c r="G3" s="41">
        <v>1</v>
      </c>
      <c r="H3" s="41">
        <v>1399</v>
      </c>
      <c r="I3" s="41">
        <v>0</v>
      </c>
      <c r="J3" s="41">
        <v>0</v>
      </c>
      <c r="K3" s="41">
        <v>1157</v>
      </c>
      <c r="L3" s="41" t="s">
        <v>21</v>
      </c>
      <c r="M3" s="41">
        <v>242</v>
      </c>
    </row>
    <row r="4" spans="1:13" x14ac:dyDescent="0.25">
      <c r="A4" s="40" t="s">
        <v>11</v>
      </c>
      <c r="B4" s="40" t="s">
        <v>27</v>
      </c>
      <c r="C4" s="40" t="s">
        <v>22</v>
      </c>
      <c r="D4" s="40" t="s">
        <v>23</v>
      </c>
      <c r="E4" s="40" t="s">
        <v>24</v>
      </c>
      <c r="F4" s="40" t="s">
        <v>25</v>
      </c>
      <c r="G4" s="41">
        <v>1</v>
      </c>
      <c r="H4" s="41">
        <v>33999</v>
      </c>
      <c r="I4" s="41">
        <v>0</v>
      </c>
      <c r="J4" s="41">
        <v>0</v>
      </c>
      <c r="K4" s="41">
        <v>33129</v>
      </c>
      <c r="L4" s="41" t="s">
        <v>26</v>
      </c>
      <c r="M4" s="41">
        <v>870</v>
      </c>
    </row>
    <row r="5" spans="1:13" x14ac:dyDescent="0.25">
      <c r="A5" s="40" t="s">
        <v>11</v>
      </c>
      <c r="B5" s="40" t="s">
        <v>27</v>
      </c>
      <c r="C5" s="40" t="s">
        <v>28</v>
      </c>
      <c r="D5" s="40" t="s">
        <v>29</v>
      </c>
      <c r="E5" s="40" t="s">
        <v>30</v>
      </c>
      <c r="F5" s="40" t="s">
        <v>31</v>
      </c>
      <c r="G5" s="41">
        <v>1</v>
      </c>
      <c r="H5" s="41">
        <v>11800</v>
      </c>
      <c r="I5" s="41">
        <v>0</v>
      </c>
      <c r="J5" s="41">
        <v>0</v>
      </c>
      <c r="K5" s="41">
        <v>12140</v>
      </c>
      <c r="L5" s="41" t="s">
        <v>32</v>
      </c>
      <c r="M5" s="41">
        <v>-340</v>
      </c>
    </row>
    <row r="6" spans="1:13" x14ac:dyDescent="0.25">
      <c r="A6" s="40" t="s">
        <v>11</v>
      </c>
      <c r="B6" s="40" t="s">
        <v>27</v>
      </c>
      <c r="C6" s="40" t="s">
        <v>28</v>
      </c>
      <c r="D6" s="40" t="s">
        <v>33</v>
      </c>
      <c r="E6" s="40" t="s">
        <v>34</v>
      </c>
      <c r="F6" s="40" t="s">
        <v>35</v>
      </c>
      <c r="G6" s="41">
        <v>1</v>
      </c>
      <c r="H6" s="41">
        <v>15500</v>
      </c>
      <c r="I6" s="41">
        <v>0</v>
      </c>
      <c r="J6" s="41">
        <v>0</v>
      </c>
      <c r="K6" s="41">
        <v>15540</v>
      </c>
      <c r="L6" s="41" t="s">
        <v>36</v>
      </c>
      <c r="M6" s="41">
        <v>-40</v>
      </c>
    </row>
    <row r="7" spans="1:13" x14ac:dyDescent="0.25">
      <c r="A7" s="40" t="s">
        <v>11</v>
      </c>
      <c r="B7" s="40" t="s">
        <v>27</v>
      </c>
      <c r="C7" s="40" t="s">
        <v>28</v>
      </c>
      <c r="D7" s="40" t="s">
        <v>37</v>
      </c>
      <c r="E7" s="40" t="s">
        <v>34</v>
      </c>
      <c r="F7" s="40" t="s">
        <v>38</v>
      </c>
      <c r="G7" s="41">
        <v>1</v>
      </c>
      <c r="H7" s="41">
        <v>12000</v>
      </c>
      <c r="I7" s="41">
        <v>0</v>
      </c>
      <c r="J7" s="41">
        <v>0</v>
      </c>
      <c r="K7" s="41">
        <v>12140</v>
      </c>
      <c r="L7" s="41" t="s">
        <v>39</v>
      </c>
      <c r="M7" s="41">
        <v>-140</v>
      </c>
    </row>
    <row r="8" spans="1:13" x14ac:dyDescent="0.25">
      <c r="A8" s="40" t="s">
        <v>11</v>
      </c>
      <c r="B8" s="40" t="s">
        <v>27</v>
      </c>
      <c r="C8" s="40" t="s">
        <v>28</v>
      </c>
      <c r="D8" s="40" t="s">
        <v>40</v>
      </c>
      <c r="E8" s="40" t="s">
        <v>41</v>
      </c>
      <c r="F8" s="40" t="s">
        <v>42</v>
      </c>
      <c r="G8" s="41">
        <v>1</v>
      </c>
      <c r="H8" s="41">
        <v>18000</v>
      </c>
      <c r="I8" s="41">
        <v>0</v>
      </c>
      <c r="J8" s="41">
        <v>0</v>
      </c>
      <c r="K8" s="41">
        <v>17482</v>
      </c>
      <c r="L8" s="41" t="s">
        <v>43</v>
      </c>
      <c r="M8" s="41">
        <v>518</v>
      </c>
    </row>
    <row r="9" spans="1:13" x14ac:dyDescent="0.25">
      <c r="A9" s="40" t="s">
        <v>11</v>
      </c>
      <c r="B9" s="40" t="s">
        <v>27</v>
      </c>
      <c r="C9" s="40" t="s">
        <v>28</v>
      </c>
      <c r="D9" s="40" t="s">
        <v>44</v>
      </c>
      <c r="E9" s="40" t="s">
        <v>45</v>
      </c>
      <c r="F9" s="40" t="s">
        <v>35</v>
      </c>
      <c r="G9" s="41">
        <v>1</v>
      </c>
      <c r="H9" s="41">
        <v>16000</v>
      </c>
      <c r="I9" s="41">
        <v>0</v>
      </c>
      <c r="J9" s="41">
        <v>0</v>
      </c>
      <c r="K9" s="41">
        <v>15540</v>
      </c>
      <c r="L9" s="41" t="s">
        <v>46</v>
      </c>
      <c r="M9" s="41">
        <v>460</v>
      </c>
    </row>
    <row r="10" spans="1:13" x14ac:dyDescent="0.25">
      <c r="A10" s="40" t="s">
        <v>11</v>
      </c>
      <c r="B10" s="40" t="s">
        <v>27</v>
      </c>
      <c r="C10" s="40" t="s">
        <v>28</v>
      </c>
      <c r="D10" s="40" t="s">
        <v>47</v>
      </c>
      <c r="E10" s="40" t="s">
        <v>45</v>
      </c>
      <c r="F10" s="40" t="s">
        <v>48</v>
      </c>
      <c r="G10" s="41">
        <v>1</v>
      </c>
      <c r="H10" s="41">
        <v>29999</v>
      </c>
      <c r="I10" s="41">
        <v>0</v>
      </c>
      <c r="J10" s="41">
        <v>0</v>
      </c>
      <c r="K10" s="41">
        <v>28862</v>
      </c>
      <c r="L10" s="41" t="s">
        <v>49</v>
      </c>
      <c r="M10" s="41">
        <v>1137</v>
      </c>
    </row>
    <row r="11" spans="1:13" x14ac:dyDescent="0.25">
      <c r="A11" s="40" t="s">
        <v>11</v>
      </c>
      <c r="B11" s="40" t="s">
        <v>27</v>
      </c>
      <c r="C11" s="40" t="s">
        <v>50</v>
      </c>
      <c r="D11" s="40" t="s">
        <v>51</v>
      </c>
      <c r="E11" s="40" t="s">
        <v>30</v>
      </c>
      <c r="F11" s="40" t="s">
        <v>52</v>
      </c>
      <c r="G11" s="41">
        <v>1</v>
      </c>
      <c r="H11" s="41">
        <v>13500</v>
      </c>
      <c r="I11" s="41">
        <v>0</v>
      </c>
      <c r="J11" s="41">
        <v>0</v>
      </c>
      <c r="K11" s="41">
        <v>13582</v>
      </c>
      <c r="L11" s="41" t="s">
        <v>53</v>
      </c>
      <c r="M11" s="41">
        <v>-82</v>
      </c>
    </row>
    <row r="12" spans="1:13" x14ac:dyDescent="0.25">
      <c r="A12" s="40" t="s">
        <v>11</v>
      </c>
      <c r="B12" s="40" t="s">
        <v>27</v>
      </c>
      <c r="C12" s="40" t="s">
        <v>50</v>
      </c>
      <c r="D12" s="40" t="s">
        <v>54</v>
      </c>
      <c r="E12" s="40" t="s">
        <v>45</v>
      </c>
      <c r="F12" s="40" t="s">
        <v>52</v>
      </c>
      <c r="G12" s="41">
        <v>1</v>
      </c>
      <c r="H12" s="41">
        <v>13300</v>
      </c>
      <c r="I12" s="41">
        <v>0</v>
      </c>
      <c r="J12" s="41">
        <v>0</v>
      </c>
      <c r="K12" s="41">
        <v>13582</v>
      </c>
      <c r="L12" s="41" t="s">
        <v>55</v>
      </c>
      <c r="M12" s="41">
        <v>-282</v>
      </c>
    </row>
    <row r="13" spans="1:13" x14ac:dyDescent="0.25">
      <c r="A13" s="40" t="s">
        <v>11</v>
      </c>
      <c r="B13" s="40" t="s">
        <v>27</v>
      </c>
      <c r="C13" s="40" t="s">
        <v>56</v>
      </c>
      <c r="D13" s="40" t="s">
        <v>57</v>
      </c>
      <c r="E13" s="40" t="s">
        <v>30</v>
      </c>
      <c r="F13" s="40" t="s">
        <v>58</v>
      </c>
      <c r="G13" s="41">
        <v>1</v>
      </c>
      <c r="H13" s="41">
        <v>11000</v>
      </c>
      <c r="I13" s="41">
        <v>0</v>
      </c>
      <c r="J13" s="41">
        <v>0</v>
      </c>
      <c r="K13" s="41">
        <v>9622</v>
      </c>
      <c r="L13" s="41" t="s">
        <v>59</v>
      </c>
      <c r="M13" s="41">
        <v>1378</v>
      </c>
    </row>
    <row r="14" spans="1:13" x14ac:dyDescent="0.25">
      <c r="A14" s="40" t="s">
        <v>11</v>
      </c>
      <c r="B14" s="40" t="s">
        <v>27</v>
      </c>
      <c r="C14" s="40" t="s">
        <v>60</v>
      </c>
      <c r="D14" s="40" t="s">
        <v>61</v>
      </c>
      <c r="E14" s="40" t="s">
        <v>30</v>
      </c>
      <c r="F14" s="40" t="s">
        <v>62</v>
      </c>
      <c r="G14" s="41">
        <v>1</v>
      </c>
      <c r="H14" s="41">
        <v>16400</v>
      </c>
      <c r="I14" s="41">
        <v>0</v>
      </c>
      <c r="J14" s="41">
        <v>0</v>
      </c>
      <c r="K14" s="41">
        <v>15847</v>
      </c>
      <c r="L14" s="41" t="s">
        <v>63</v>
      </c>
      <c r="M14" s="41">
        <v>553</v>
      </c>
    </row>
    <row r="15" spans="1:13" x14ac:dyDescent="0.25">
      <c r="A15" s="40" t="s">
        <v>11</v>
      </c>
      <c r="B15" s="40" t="s">
        <v>27</v>
      </c>
      <c r="C15" s="40" t="s">
        <v>60</v>
      </c>
      <c r="D15" s="40" t="s">
        <v>64</v>
      </c>
      <c r="E15" s="40" t="s">
        <v>30</v>
      </c>
      <c r="F15" s="40" t="s">
        <v>65</v>
      </c>
      <c r="G15" s="41">
        <v>1</v>
      </c>
      <c r="H15" s="41">
        <v>42000</v>
      </c>
      <c r="I15" s="41">
        <v>0</v>
      </c>
      <c r="J15" s="41">
        <v>0</v>
      </c>
      <c r="K15" s="41">
        <v>42253</v>
      </c>
      <c r="L15" s="41" t="s">
        <v>66</v>
      </c>
      <c r="M15" s="41">
        <v>-253</v>
      </c>
    </row>
    <row r="16" spans="1:13" x14ac:dyDescent="0.25">
      <c r="A16" s="40" t="s">
        <v>11</v>
      </c>
      <c r="B16" s="40" t="s">
        <v>27</v>
      </c>
      <c r="C16" s="40" t="s">
        <v>60</v>
      </c>
      <c r="D16" s="40" t="s">
        <v>67</v>
      </c>
      <c r="E16" s="40" t="s">
        <v>34</v>
      </c>
      <c r="F16" s="40" t="s">
        <v>68</v>
      </c>
      <c r="G16" s="41">
        <v>1</v>
      </c>
      <c r="H16" s="41">
        <v>17500</v>
      </c>
      <c r="I16" s="41">
        <v>0</v>
      </c>
      <c r="J16" s="41">
        <v>0</v>
      </c>
      <c r="K16" s="41">
        <v>17482</v>
      </c>
      <c r="L16" s="41" t="s">
        <v>69</v>
      </c>
      <c r="M16" s="41">
        <v>18</v>
      </c>
    </row>
    <row r="17" spans="1:13" x14ac:dyDescent="0.25">
      <c r="A17" s="40" t="s">
        <v>11</v>
      </c>
      <c r="B17" s="40" t="s">
        <v>27</v>
      </c>
      <c r="C17" s="40" t="s">
        <v>60</v>
      </c>
      <c r="D17" s="40" t="s">
        <v>70</v>
      </c>
      <c r="E17" s="40" t="s">
        <v>41</v>
      </c>
      <c r="F17" s="40" t="s">
        <v>71</v>
      </c>
      <c r="G17" s="41">
        <v>1</v>
      </c>
      <c r="H17" s="41">
        <v>71200</v>
      </c>
      <c r="I17" s="41">
        <v>0</v>
      </c>
      <c r="J17" s="41">
        <v>0</v>
      </c>
      <c r="K17" s="41">
        <v>69202</v>
      </c>
      <c r="L17" s="41" t="s">
        <v>72</v>
      </c>
      <c r="M17" s="41">
        <v>1998</v>
      </c>
    </row>
    <row r="18" spans="1:13" x14ac:dyDescent="0.25">
      <c r="A18" s="40" t="s">
        <v>11</v>
      </c>
      <c r="B18" s="40" t="s">
        <v>27</v>
      </c>
      <c r="C18" s="40" t="s">
        <v>60</v>
      </c>
      <c r="D18" s="40" t="s">
        <v>73</v>
      </c>
      <c r="E18" s="40" t="s">
        <v>41</v>
      </c>
      <c r="F18" s="40" t="s">
        <v>74</v>
      </c>
      <c r="G18" s="41">
        <v>1</v>
      </c>
      <c r="H18" s="41">
        <v>13500</v>
      </c>
      <c r="I18" s="41">
        <v>0</v>
      </c>
      <c r="J18" s="41">
        <v>0</v>
      </c>
      <c r="K18" s="41">
        <v>14010</v>
      </c>
      <c r="L18" s="41" t="s">
        <v>75</v>
      </c>
      <c r="M18" s="41">
        <v>-510</v>
      </c>
    </row>
    <row r="19" spans="1:13" x14ac:dyDescent="0.25">
      <c r="A19" s="40" t="s">
        <v>11</v>
      </c>
      <c r="B19" s="40" t="s">
        <v>27</v>
      </c>
      <c r="C19" s="40" t="s">
        <v>60</v>
      </c>
      <c r="D19" s="40" t="s">
        <v>76</v>
      </c>
      <c r="E19" s="40" t="s">
        <v>41</v>
      </c>
      <c r="F19" s="40" t="s">
        <v>77</v>
      </c>
      <c r="G19" s="41">
        <v>1</v>
      </c>
      <c r="H19" s="41">
        <v>41999</v>
      </c>
      <c r="I19" s="41">
        <v>0</v>
      </c>
      <c r="J19" s="41">
        <v>0</v>
      </c>
      <c r="K19" s="41">
        <v>41355</v>
      </c>
      <c r="L19" s="41" t="s">
        <v>78</v>
      </c>
      <c r="M19" s="41">
        <v>644</v>
      </c>
    </row>
    <row r="20" spans="1:13" x14ac:dyDescent="0.25">
      <c r="A20" s="40" t="s">
        <v>11</v>
      </c>
      <c r="B20" s="40" t="s">
        <v>27</v>
      </c>
      <c r="C20" s="40" t="s">
        <v>60</v>
      </c>
      <c r="D20" s="40" t="s">
        <v>79</v>
      </c>
      <c r="E20" s="40" t="s">
        <v>41</v>
      </c>
      <c r="F20" s="40" t="s">
        <v>80</v>
      </c>
      <c r="G20" s="41">
        <v>1</v>
      </c>
      <c r="H20" s="41">
        <v>23500</v>
      </c>
      <c r="I20" s="41">
        <v>0</v>
      </c>
      <c r="J20" s="41">
        <v>0</v>
      </c>
      <c r="K20" s="41">
        <v>23147</v>
      </c>
      <c r="L20" s="41" t="s">
        <v>81</v>
      </c>
      <c r="M20" s="41">
        <v>353</v>
      </c>
    </row>
    <row r="21" spans="1:13" x14ac:dyDescent="0.25">
      <c r="A21" s="40" t="s">
        <v>11</v>
      </c>
      <c r="B21" s="40" t="s">
        <v>27</v>
      </c>
      <c r="C21" s="40" t="s">
        <v>82</v>
      </c>
      <c r="D21" s="40" t="s">
        <v>83</v>
      </c>
      <c r="E21" s="40" t="s">
        <v>30</v>
      </c>
      <c r="F21" s="40" t="s">
        <v>84</v>
      </c>
      <c r="G21" s="41">
        <v>1</v>
      </c>
      <c r="H21" s="41">
        <v>12500</v>
      </c>
      <c r="I21" s="41">
        <v>0</v>
      </c>
      <c r="J21" s="41">
        <v>0</v>
      </c>
      <c r="K21" s="41">
        <v>12605</v>
      </c>
      <c r="L21" s="41" t="s">
        <v>85</v>
      </c>
      <c r="M21" s="41">
        <v>-105</v>
      </c>
    </row>
    <row r="22" spans="1:13" x14ac:dyDescent="0.25">
      <c r="A22" s="40" t="s">
        <v>86</v>
      </c>
      <c r="B22" s="40" t="s">
        <v>12</v>
      </c>
      <c r="C22" s="40" t="s">
        <v>87</v>
      </c>
      <c r="D22" s="40" t="s">
        <v>88</v>
      </c>
      <c r="E22" s="40" t="s">
        <v>41</v>
      </c>
      <c r="F22" s="40" t="s">
        <v>89</v>
      </c>
      <c r="G22" s="41">
        <v>1</v>
      </c>
      <c r="H22" s="41">
        <v>58900</v>
      </c>
      <c r="I22" s="41">
        <v>0</v>
      </c>
      <c r="J22" s="41">
        <v>0</v>
      </c>
      <c r="K22" s="41">
        <v>58091</v>
      </c>
      <c r="L22" s="41" t="s">
        <v>90</v>
      </c>
      <c r="M22" s="41">
        <v>809</v>
      </c>
    </row>
    <row r="23" spans="1:13" x14ac:dyDescent="0.25">
      <c r="A23" s="40" t="s">
        <v>86</v>
      </c>
      <c r="B23" s="40" t="s">
        <v>12</v>
      </c>
      <c r="C23" s="40" t="s">
        <v>87</v>
      </c>
      <c r="D23" s="40" t="s">
        <v>91</v>
      </c>
      <c r="E23" s="40" t="s">
        <v>45</v>
      </c>
      <c r="F23" s="40" t="s">
        <v>92</v>
      </c>
      <c r="G23" s="41">
        <v>1</v>
      </c>
      <c r="H23" s="41">
        <v>69900</v>
      </c>
      <c r="I23" s="41">
        <v>0</v>
      </c>
      <c r="J23" s="41">
        <v>0</v>
      </c>
      <c r="K23" s="41">
        <v>67789</v>
      </c>
      <c r="L23" s="41" t="s">
        <v>93</v>
      </c>
      <c r="M23" s="41">
        <v>2111</v>
      </c>
    </row>
    <row r="24" spans="1:13" x14ac:dyDescent="0.25">
      <c r="A24" s="40" t="s">
        <v>86</v>
      </c>
      <c r="B24" s="40" t="s">
        <v>12</v>
      </c>
      <c r="C24" s="40" t="s">
        <v>13</v>
      </c>
      <c r="D24" s="40" t="s">
        <v>94</v>
      </c>
      <c r="E24" s="40" t="s">
        <v>95</v>
      </c>
      <c r="F24" s="40" t="s">
        <v>96</v>
      </c>
      <c r="G24" s="41">
        <v>1</v>
      </c>
      <c r="H24" s="41">
        <v>24499</v>
      </c>
      <c r="I24" s="41">
        <v>0</v>
      </c>
      <c r="J24" s="41">
        <v>0</v>
      </c>
      <c r="K24" s="41">
        <v>24848</v>
      </c>
      <c r="L24" s="41" t="s">
        <v>97</v>
      </c>
      <c r="M24" s="41">
        <v>-349</v>
      </c>
    </row>
    <row r="25" spans="1:13" x14ac:dyDescent="0.25">
      <c r="A25" s="40" t="s">
        <v>86</v>
      </c>
      <c r="B25" s="40" t="s">
        <v>12</v>
      </c>
      <c r="C25" s="40" t="s">
        <v>28</v>
      </c>
      <c r="D25" s="40" t="s">
        <v>98</v>
      </c>
      <c r="E25" s="40" t="s">
        <v>24</v>
      </c>
      <c r="F25" s="40" t="s">
        <v>99</v>
      </c>
      <c r="G25" s="41">
        <v>1</v>
      </c>
      <c r="H25" s="41">
        <v>26999</v>
      </c>
      <c r="I25" s="41">
        <v>0</v>
      </c>
      <c r="J25" s="41">
        <v>0</v>
      </c>
      <c r="K25" s="41">
        <v>25975</v>
      </c>
      <c r="L25" s="41" t="s">
        <v>100</v>
      </c>
      <c r="M25" s="41">
        <v>1024</v>
      </c>
    </row>
    <row r="26" spans="1:13" x14ac:dyDescent="0.25">
      <c r="A26" s="40" t="s">
        <v>86</v>
      </c>
      <c r="B26" s="40" t="s">
        <v>12</v>
      </c>
      <c r="C26" s="40" t="s">
        <v>28</v>
      </c>
      <c r="D26" s="40" t="s">
        <v>101</v>
      </c>
      <c r="E26" s="40" t="s">
        <v>24</v>
      </c>
      <c r="F26" s="40" t="s">
        <v>102</v>
      </c>
      <c r="G26" s="41">
        <v>1</v>
      </c>
      <c r="H26" s="41">
        <v>26999</v>
      </c>
      <c r="I26" s="41">
        <v>0</v>
      </c>
      <c r="J26" s="41">
        <v>0</v>
      </c>
      <c r="K26" s="41">
        <v>25975</v>
      </c>
      <c r="L26" s="41" t="s">
        <v>103</v>
      </c>
      <c r="M26" s="41">
        <v>1024</v>
      </c>
    </row>
    <row r="27" spans="1:13" x14ac:dyDescent="0.25">
      <c r="A27" s="40" t="s">
        <v>86</v>
      </c>
      <c r="B27" s="40" t="s">
        <v>12</v>
      </c>
      <c r="C27" s="40" t="s">
        <v>28</v>
      </c>
      <c r="D27" s="40" t="s">
        <v>104</v>
      </c>
      <c r="E27" s="40" t="s">
        <v>105</v>
      </c>
      <c r="F27" s="40" t="s">
        <v>106</v>
      </c>
      <c r="G27" s="41">
        <v>1</v>
      </c>
      <c r="H27" s="41">
        <v>16700</v>
      </c>
      <c r="I27" s="41">
        <v>0</v>
      </c>
      <c r="J27" s="41">
        <v>0</v>
      </c>
      <c r="K27" s="41">
        <v>16511</v>
      </c>
      <c r="L27" s="41" t="s">
        <v>107</v>
      </c>
      <c r="M27" s="41">
        <v>189</v>
      </c>
    </row>
    <row r="28" spans="1:13" x14ac:dyDescent="0.25">
      <c r="A28" s="40" t="s">
        <v>86</v>
      </c>
      <c r="B28" s="40" t="s">
        <v>12</v>
      </c>
      <c r="C28" s="40" t="s">
        <v>28</v>
      </c>
      <c r="D28" s="40" t="s">
        <v>108</v>
      </c>
      <c r="E28" s="40" t="s">
        <v>109</v>
      </c>
      <c r="F28" s="40" t="s">
        <v>106</v>
      </c>
      <c r="G28" s="41">
        <v>1</v>
      </c>
      <c r="H28" s="41">
        <v>16500</v>
      </c>
      <c r="I28" s="41">
        <v>0</v>
      </c>
      <c r="J28" s="41">
        <v>0</v>
      </c>
      <c r="K28" s="41">
        <v>16511</v>
      </c>
      <c r="L28" s="41" t="s">
        <v>110</v>
      </c>
      <c r="M28" s="41">
        <v>-11</v>
      </c>
    </row>
    <row r="29" spans="1:13" x14ac:dyDescent="0.25">
      <c r="A29" s="40" t="s">
        <v>86</v>
      </c>
      <c r="B29" s="40" t="s">
        <v>12</v>
      </c>
      <c r="C29" s="40" t="s">
        <v>28</v>
      </c>
      <c r="D29" s="40" t="s">
        <v>111</v>
      </c>
      <c r="E29" s="40" t="s">
        <v>109</v>
      </c>
      <c r="F29" s="40" t="s">
        <v>112</v>
      </c>
      <c r="G29" s="41">
        <v>1</v>
      </c>
      <c r="H29" s="41">
        <v>32000</v>
      </c>
      <c r="I29" s="41">
        <v>0</v>
      </c>
      <c r="J29" s="41">
        <v>0</v>
      </c>
      <c r="K29" s="41">
        <v>31748</v>
      </c>
      <c r="L29" s="41" t="s">
        <v>113</v>
      </c>
      <c r="M29" s="41">
        <v>252</v>
      </c>
    </row>
    <row r="30" spans="1:13" x14ac:dyDescent="0.25">
      <c r="A30" s="40" t="s">
        <v>86</v>
      </c>
      <c r="B30" s="40" t="s">
        <v>12</v>
      </c>
      <c r="C30" s="40" t="s">
        <v>114</v>
      </c>
      <c r="D30" s="40" t="s">
        <v>115</v>
      </c>
      <c r="E30" s="40" t="s">
        <v>15</v>
      </c>
      <c r="F30" s="40" t="s">
        <v>116</v>
      </c>
      <c r="G30" s="41">
        <v>1</v>
      </c>
      <c r="H30" s="41">
        <v>18000</v>
      </c>
      <c r="I30" s="41">
        <v>0</v>
      </c>
      <c r="J30" s="41">
        <v>0</v>
      </c>
      <c r="K30" s="41">
        <v>17834</v>
      </c>
      <c r="L30" s="41" t="s">
        <v>117</v>
      </c>
      <c r="M30" s="41">
        <v>166</v>
      </c>
    </row>
    <row r="31" spans="1:13" x14ac:dyDescent="0.25">
      <c r="A31" s="40" t="s">
        <v>86</v>
      </c>
      <c r="B31" s="40" t="s">
        <v>12</v>
      </c>
      <c r="C31" s="40" t="s">
        <v>114</v>
      </c>
      <c r="D31" s="40" t="s">
        <v>118</v>
      </c>
      <c r="E31" s="40" t="s">
        <v>15</v>
      </c>
      <c r="F31" s="40" t="s">
        <v>116</v>
      </c>
      <c r="G31" s="41">
        <v>1</v>
      </c>
      <c r="H31" s="41">
        <v>18500</v>
      </c>
      <c r="I31" s="41">
        <v>0</v>
      </c>
      <c r="J31" s="41">
        <v>0</v>
      </c>
      <c r="K31" s="41">
        <v>17834</v>
      </c>
      <c r="L31" s="41" t="s">
        <v>119</v>
      </c>
      <c r="M31" s="41">
        <v>666</v>
      </c>
    </row>
    <row r="32" spans="1:13" x14ac:dyDescent="0.25">
      <c r="A32" s="40" t="s">
        <v>86</v>
      </c>
      <c r="B32" s="40" t="s">
        <v>12</v>
      </c>
      <c r="C32" s="40" t="s">
        <v>114</v>
      </c>
      <c r="D32" s="40" t="s">
        <v>120</v>
      </c>
      <c r="E32" s="40" t="s">
        <v>15</v>
      </c>
      <c r="F32" s="40" t="s">
        <v>121</v>
      </c>
      <c r="G32" s="41">
        <v>1</v>
      </c>
      <c r="H32" s="41">
        <v>37000</v>
      </c>
      <c r="I32" s="41">
        <v>0</v>
      </c>
      <c r="J32" s="41">
        <v>0</v>
      </c>
      <c r="K32" s="41">
        <v>37518</v>
      </c>
      <c r="L32" s="41" t="s">
        <v>122</v>
      </c>
      <c r="M32" s="41">
        <v>-518</v>
      </c>
    </row>
    <row r="33" spans="1:13" x14ac:dyDescent="0.25">
      <c r="A33" s="40" t="s">
        <v>86</v>
      </c>
      <c r="B33" s="40" t="s">
        <v>12</v>
      </c>
      <c r="C33" s="40" t="s">
        <v>114</v>
      </c>
      <c r="D33" s="40" t="s">
        <v>123</v>
      </c>
      <c r="E33" s="40" t="s">
        <v>24</v>
      </c>
      <c r="F33" s="40" t="s">
        <v>124</v>
      </c>
      <c r="G33" s="41">
        <v>1</v>
      </c>
      <c r="H33" s="41">
        <v>15200</v>
      </c>
      <c r="I33" s="41">
        <v>0</v>
      </c>
      <c r="J33" s="41">
        <v>0</v>
      </c>
      <c r="K33" s="41">
        <v>15000</v>
      </c>
      <c r="L33" s="41" t="s">
        <v>125</v>
      </c>
      <c r="M33" s="41">
        <v>200</v>
      </c>
    </row>
    <row r="34" spans="1:13" x14ac:dyDescent="0.25">
      <c r="A34" s="40" t="s">
        <v>86</v>
      </c>
      <c r="B34" s="40" t="s">
        <v>12</v>
      </c>
      <c r="C34" s="40" t="s">
        <v>114</v>
      </c>
      <c r="D34" s="40" t="s">
        <v>126</v>
      </c>
      <c r="E34" s="40" t="s">
        <v>24</v>
      </c>
      <c r="F34" s="40" t="s">
        <v>127</v>
      </c>
      <c r="G34" s="41">
        <v>1</v>
      </c>
      <c r="H34" s="41">
        <v>17500</v>
      </c>
      <c r="I34" s="41">
        <v>0</v>
      </c>
      <c r="J34" s="41">
        <v>0</v>
      </c>
      <c r="K34" s="41">
        <v>17528</v>
      </c>
      <c r="L34" s="41" t="s">
        <v>128</v>
      </c>
      <c r="M34" s="41">
        <v>-28</v>
      </c>
    </row>
    <row r="35" spans="1:13" x14ac:dyDescent="0.25">
      <c r="A35" s="40" t="s">
        <v>86</v>
      </c>
      <c r="B35" s="40" t="s">
        <v>12</v>
      </c>
      <c r="C35" s="40" t="s">
        <v>114</v>
      </c>
      <c r="D35" s="40" t="s">
        <v>129</v>
      </c>
      <c r="E35" s="40" t="s">
        <v>95</v>
      </c>
      <c r="F35" s="40" t="s">
        <v>124</v>
      </c>
      <c r="G35" s="41">
        <v>1</v>
      </c>
      <c r="H35" s="41">
        <v>15500</v>
      </c>
      <c r="I35" s="41">
        <v>0</v>
      </c>
      <c r="J35" s="41">
        <v>0</v>
      </c>
      <c r="K35" s="41">
        <v>15000</v>
      </c>
      <c r="L35" s="41" t="s">
        <v>130</v>
      </c>
      <c r="M35" s="41">
        <v>500</v>
      </c>
    </row>
    <row r="36" spans="1:13" x14ac:dyDescent="0.25">
      <c r="A36" s="40" t="s">
        <v>86</v>
      </c>
      <c r="B36" s="40" t="s">
        <v>12</v>
      </c>
      <c r="C36" s="40" t="s">
        <v>114</v>
      </c>
      <c r="D36" s="40" t="s">
        <v>131</v>
      </c>
      <c r="E36" s="40" t="s">
        <v>95</v>
      </c>
      <c r="F36" s="40" t="s">
        <v>132</v>
      </c>
      <c r="G36" s="41">
        <v>1</v>
      </c>
      <c r="H36" s="41">
        <v>22000</v>
      </c>
      <c r="I36" s="41">
        <v>0</v>
      </c>
      <c r="J36" s="41">
        <v>0</v>
      </c>
      <c r="K36" s="41">
        <v>21968</v>
      </c>
      <c r="L36" s="41" t="s">
        <v>133</v>
      </c>
      <c r="M36" s="41">
        <v>32</v>
      </c>
    </row>
    <row r="37" spans="1:13" x14ac:dyDescent="0.25">
      <c r="A37" s="40" t="s">
        <v>86</v>
      </c>
      <c r="B37" s="40" t="s">
        <v>12</v>
      </c>
      <c r="C37" s="40" t="s">
        <v>114</v>
      </c>
      <c r="D37" s="40" t="s">
        <v>134</v>
      </c>
      <c r="E37" s="40" t="s">
        <v>135</v>
      </c>
      <c r="F37" s="40" t="s">
        <v>132</v>
      </c>
      <c r="G37" s="41">
        <v>1</v>
      </c>
      <c r="H37" s="41">
        <v>22500</v>
      </c>
      <c r="I37" s="41">
        <v>0</v>
      </c>
      <c r="J37" s="41">
        <v>0</v>
      </c>
      <c r="K37" s="41">
        <v>21968</v>
      </c>
      <c r="L37" s="41" t="s">
        <v>136</v>
      </c>
      <c r="M37" s="41">
        <v>532</v>
      </c>
    </row>
    <row r="38" spans="1:13" x14ac:dyDescent="0.25">
      <c r="A38" s="40" t="s">
        <v>86</v>
      </c>
      <c r="B38" s="40" t="s">
        <v>12</v>
      </c>
      <c r="C38" s="40" t="s">
        <v>114</v>
      </c>
      <c r="D38" s="40" t="s">
        <v>137</v>
      </c>
      <c r="E38" s="40" t="s">
        <v>135</v>
      </c>
      <c r="F38" s="40" t="s">
        <v>138</v>
      </c>
      <c r="G38" s="41">
        <v>1</v>
      </c>
      <c r="H38" s="41">
        <v>34900</v>
      </c>
      <c r="I38" s="41">
        <v>0</v>
      </c>
      <c r="J38" s="41">
        <v>0</v>
      </c>
      <c r="K38" s="41">
        <v>31600</v>
      </c>
      <c r="L38" s="41" t="s">
        <v>139</v>
      </c>
      <c r="M38" s="41">
        <v>3300</v>
      </c>
    </row>
    <row r="39" spans="1:13" x14ac:dyDescent="0.25">
      <c r="A39" s="40" t="s">
        <v>86</v>
      </c>
      <c r="B39" s="40" t="s">
        <v>12</v>
      </c>
      <c r="C39" s="40" t="s">
        <v>114</v>
      </c>
      <c r="D39" s="40" t="s">
        <v>140</v>
      </c>
      <c r="E39" s="40" t="s">
        <v>135</v>
      </c>
      <c r="F39" s="40" t="s">
        <v>141</v>
      </c>
      <c r="G39" s="41">
        <v>1</v>
      </c>
      <c r="H39" s="41">
        <v>9000</v>
      </c>
      <c r="I39" s="41">
        <v>0</v>
      </c>
      <c r="J39" s="41">
        <v>0</v>
      </c>
      <c r="K39" s="41">
        <v>8916</v>
      </c>
      <c r="L39" s="41" t="s">
        <v>142</v>
      </c>
      <c r="M39" s="41">
        <v>84</v>
      </c>
    </row>
    <row r="40" spans="1:13" x14ac:dyDescent="0.25">
      <c r="A40" s="40" t="s">
        <v>86</v>
      </c>
      <c r="B40" s="40" t="s">
        <v>12</v>
      </c>
      <c r="C40" s="40" t="s">
        <v>114</v>
      </c>
      <c r="D40" s="40" t="s">
        <v>143</v>
      </c>
      <c r="E40" s="40" t="s">
        <v>105</v>
      </c>
      <c r="F40" s="40" t="s">
        <v>144</v>
      </c>
      <c r="G40" s="41">
        <v>1</v>
      </c>
      <c r="H40" s="41">
        <v>17500</v>
      </c>
      <c r="I40" s="41">
        <v>0</v>
      </c>
      <c r="J40" s="41">
        <v>0</v>
      </c>
      <c r="K40" s="41">
        <v>17528</v>
      </c>
      <c r="L40" s="41" t="s">
        <v>145</v>
      </c>
      <c r="M40" s="41">
        <v>-28</v>
      </c>
    </row>
    <row r="41" spans="1:13" x14ac:dyDescent="0.25">
      <c r="A41" s="40" t="s">
        <v>86</v>
      </c>
      <c r="B41" s="40" t="s">
        <v>12</v>
      </c>
      <c r="C41" s="40" t="s">
        <v>114</v>
      </c>
      <c r="D41" s="40" t="s">
        <v>146</v>
      </c>
      <c r="E41" s="40" t="s">
        <v>109</v>
      </c>
      <c r="F41" s="40" t="s">
        <v>147</v>
      </c>
      <c r="G41" s="41">
        <v>1</v>
      </c>
      <c r="H41" s="41">
        <v>19900</v>
      </c>
      <c r="I41" s="41">
        <v>0</v>
      </c>
      <c r="J41" s="41">
        <v>0</v>
      </c>
      <c r="K41" s="41">
        <v>20307</v>
      </c>
      <c r="L41" s="41" t="s">
        <v>148</v>
      </c>
      <c r="M41" s="41">
        <v>-407</v>
      </c>
    </row>
    <row r="42" spans="1:13" x14ac:dyDescent="0.25">
      <c r="A42" s="40" t="s">
        <v>86</v>
      </c>
      <c r="B42" s="40" t="s">
        <v>12</v>
      </c>
      <c r="C42" s="40" t="s">
        <v>114</v>
      </c>
      <c r="D42" s="40" t="s">
        <v>149</v>
      </c>
      <c r="E42" s="40" t="s">
        <v>109</v>
      </c>
      <c r="F42" s="40" t="s">
        <v>150</v>
      </c>
      <c r="G42" s="41">
        <v>1</v>
      </c>
      <c r="H42" s="41">
        <v>135000</v>
      </c>
      <c r="I42" s="41">
        <v>0</v>
      </c>
      <c r="J42" s="41">
        <v>0</v>
      </c>
      <c r="K42" s="41">
        <v>132036</v>
      </c>
      <c r="L42" s="41" t="s">
        <v>151</v>
      </c>
      <c r="M42" s="41">
        <v>2964</v>
      </c>
    </row>
    <row r="43" spans="1:13" x14ac:dyDescent="0.25">
      <c r="A43" s="40" t="s">
        <v>86</v>
      </c>
      <c r="B43" s="40" t="s">
        <v>12</v>
      </c>
      <c r="C43" s="40" t="s">
        <v>114</v>
      </c>
      <c r="D43" s="40" t="s">
        <v>152</v>
      </c>
      <c r="E43" s="40" t="s">
        <v>109</v>
      </c>
      <c r="F43" s="40" t="s">
        <v>153</v>
      </c>
      <c r="G43" s="41">
        <v>1</v>
      </c>
      <c r="H43" s="41">
        <v>136000</v>
      </c>
      <c r="I43" s="41">
        <v>0</v>
      </c>
      <c r="J43" s="41">
        <v>0</v>
      </c>
      <c r="K43" s="41">
        <v>132036</v>
      </c>
      <c r="L43" s="41" t="s">
        <v>154</v>
      </c>
      <c r="M43" s="41">
        <v>3964</v>
      </c>
    </row>
    <row r="44" spans="1:13" x14ac:dyDescent="0.25">
      <c r="A44" s="40" t="s">
        <v>86</v>
      </c>
      <c r="B44" s="40" t="s">
        <v>12</v>
      </c>
      <c r="C44" s="40" t="s">
        <v>114</v>
      </c>
      <c r="D44" s="40" t="s">
        <v>155</v>
      </c>
      <c r="E44" s="40" t="s">
        <v>109</v>
      </c>
      <c r="F44" s="40" t="s">
        <v>156</v>
      </c>
      <c r="G44" s="41">
        <v>1</v>
      </c>
      <c r="H44" s="41">
        <v>15000</v>
      </c>
      <c r="I44" s="41">
        <v>0</v>
      </c>
      <c r="J44" s="41">
        <v>0</v>
      </c>
      <c r="K44" s="41">
        <v>14440</v>
      </c>
      <c r="L44" s="41" t="s">
        <v>157</v>
      </c>
      <c r="M44" s="41">
        <v>560</v>
      </c>
    </row>
    <row r="45" spans="1:13" x14ac:dyDescent="0.25">
      <c r="A45" s="40" t="s">
        <v>86</v>
      </c>
      <c r="B45" s="40" t="s">
        <v>12</v>
      </c>
      <c r="C45" s="40" t="s">
        <v>114</v>
      </c>
      <c r="D45" s="40" t="s">
        <v>158</v>
      </c>
      <c r="E45" s="40" t="s">
        <v>109</v>
      </c>
      <c r="F45" s="40" t="s">
        <v>159</v>
      </c>
      <c r="G45" s="41">
        <v>1</v>
      </c>
      <c r="H45" s="41">
        <v>15300</v>
      </c>
      <c r="I45" s="41">
        <v>0</v>
      </c>
      <c r="J45" s="41">
        <v>0</v>
      </c>
      <c r="K45" s="41">
        <v>15956</v>
      </c>
      <c r="L45" s="41" t="s">
        <v>160</v>
      </c>
      <c r="M45" s="41">
        <v>-656</v>
      </c>
    </row>
    <row r="46" spans="1:13" x14ac:dyDescent="0.25">
      <c r="A46" s="40" t="s">
        <v>86</v>
      </c>
      <c r="B46" s="40" t="s">
        <v>12</v>
      </c>
      <c r="C46" s="40" t="s">
        <v>114</v>
      </c>
      <c r="D46" s="40" t="s">
        <v>161</v>
      </c>
      <c r="E46" s="40" t="s">
        <v>162</v>
      </c>
      <c r="F46" s="40" t="s">
        <v>132</v>
      </c>
      <c r="G46" s="41">
        <v>1</v>
      </c>
      <c r="H46" s="41">
        <v>22000</v>
      </c>
      <c r="I46" s="41">
        <v>0</v>
      </c>
      <c r="J46" s="41">
        <v>0</v>
      </c>
      <c r="K46" s="41">
        <v>21968</v>
      </c>
      <c r="L46" s="41" t="s">
        <v>163</v>
      </c>
      <c r="M46" s="41">
        <v>32</v>
      </c>
    </row>
    <row r="47" spans="1:13" x14ac:dyDescent="0.25">
      <c r="A47" s="40" t="s">
        <v>86</v>
      </c>
      <c r="B47" s="40" t="s">
        <v>12</v>
      </c>
      <c r="C47" s="40" t="s">
        <v>114</v>
      </c>
      <c r="D47" s="40" t="s">
        <v>164</v>
      </c>
      <c r="E47" s="40" t="s">
        <v>162</v>
      </c>
      <c r="F47" s="40" t="s">
        <v>165</v>
      </c>
      <c r="G47" s="41">
        <v>1</v>
      </c>
      <c r="H47" s="41">
        <v>113000</v>
      </c>
      <c r="I47" s="41">
        <v>0</v>
      </c>
      <c r="J47" s="41">
        <v>0</v>
      </c>
      <c r="K47" s="41">
        <v>113189</v>
      </c>
      <c r="L47" s="41" t="s">
        <v>166</v>
      </c>
      <c r="M47" s="41">
        <v>-189</v>
      </c>
    </row>
    <row r="48" spans="1:13" x14ac:dyDescent="0.25">
      <c r="A48" s="40" t="s">
        <v>86</v>
      </c>
      <c r="B48" s="40" t="s">
        <v>12</v>
      </c>
      <c r="C48" s="40" t="s">
        <v>114</v>
      </c>
      <c r="D48" s="40" t="s">
        <v>167</v>
      </c>
      <c r="E48" s="40" t="s">
        <v>162</v>
      </c>
      <c r="F48" s="40" t="s">
        <v>141</v>
      </c>
      <c r="G48" s="41">
        <v>1</v>
      </c>
      <c r="H48" s="41">
        <v>9000</v>
      </c>
      <c r="I48" s="41">
        <v>0</v>
      </c>
      <c r="J48" s="41">
        <v>0</v>
      </c>
      <c r="K48" s="41">
        <v>8916</v>
      </c>
      <c r="L48" s="41" t="s">
        <v>168</v>
      </c>
      <c r="M48" s="41">
        <v>84</v>
      </c>
    </row>
    <row r="49" spans="1:13" x14ac:dyDescent="0.25">
      <c r="A49" s="40" t="s">
        <v>86</v>
      </c>
      <c r="B49" s="40" t="s">
        <v>12</v>
      </c>
      <c r="C49" s="40" t="s">
        <v>114</v>
      </c>
      <c r="D49" s="40" t="s">
        <v>169</v>
      </c>
      <c r="E49" s="40" t="s">
        <v>30</v>
      </c>
      <c r="F49" s="40" t="s">
        <v>170</v>
      </c>
      <c r="G49" s="41">
        <v>1</v>
      </c>
      <c r="H49" s="41">
        <v>18500</v>
      </c>
      <c r="I49" s="41">
        <v>0</v>
      </c>
      <c r="J49" s="41">
        <v>0</v>
      </c>
      <c r="K49" s="41">
        <v>18502</v>
      </c>
      <c r="L49" s="41" t="s">
        <v>171</v>
      </c>
      <c r="M49" s="41">
        <v>-2</v>
      </c>
    </row>
    <row r="50" spans="1:13" x14ac:dyDescent="0.25">
      <c r="A50" s="40" t="s">
        <v>86</v>
      </c>
      <c r="B50" s="40" t="s">
        <v>12</v>
      </c>
      <c r="C50" s="40" t="s">
        <v>114</v>
      </c>
      <c r="D50" s="40" t="s">
        <v>172</v>
      </c>
      <c r="E50" s="40" t="s">
        <v>30</v>
      </c>
      <c r="F50" s="40" t="s">
        <v>173</v>
      </c>
      <c r="G50" s="41">
        <v>1</v>
      </c>
      <c r="H50" s="41">
        <v>23000</v>
      </c>
      <c r="I50" s="41">
        <v>0</v>
      </c>
      <c r="J50" s="41">
        <v>0</v>
      </c>
      <c r="K50" s="41">
        <v>21968</v>
      </c>
      <c r="L50" s="41" t="s">
        <v>174</v>
      </c>
      <c r="M50" s="41">
        <v>1032</v>
      </c>
    </row>
    <row r="51" spans="1:13" x14ac:dyDescent="0.25">
      <c r="A51" s="40" t="s">
        <v>86</v>
      </c>
      <c r="B51" s="40" t="s">
        <v>12</v>
      </c>
      <c r="C51" s="40" t="s">
        <v>114</v>
      </c>
      <c r="D51" s="40" t="s">
        <v>175</v>
      </c>
      <c r="E51" s="40" t="s">
        <v>30</v>
      </c>
      <c r="F51" s="40" t="s">
        <v>176</v>
      </c>
      <c r="G51" s="41">
        <v>1</v>
      </c>
      <c r="H51" s="41">
        <v>74300</v>
      </c>
      <c r="I51" s="41">
        <v>0</v>
      </c>
      <c r="J51" s="41">
        <v>0</v>
      </c>
      <c r="K51" s="41">
        <v>76093</v>
      </c>
      <c r="L51" s="41" t="s">
        <v>177</v>
      </c>
      <c r="M51" s="41">
        <v>-1793</v>
      </c>
    </row>
    <row r="52" spans="1:13" x14ac:dyDescent="0.25">
      <c r="A52" s="40" t="s">
        <v>86</v>
      </c>
      <c r="B52" s="40" t="s">
        <v>12</v>
      </c>
      <c r="C52" s="40" t="s">
        <v>114</v>
      </c>
      <c r="D52" s="40" t="s">
        <v>178</v>
      </c>
      <c r="E52" s="40" t="s">
        <v>34</v>
      </c>
      <c r="F52" s="40" t="s">
        <v>179</v>
      </c>
      <c r="G52" s="41">
        <v>1</v>
      </c>
      <c r="H52" s="41">
        <v>41500</v>
      </c>
      <c r="I52" s="41">
        <v>0</v>
      </c>
      <c r="J52" s="41">
        <v>0</v>
      </c>
      <c r="K52" s="41">
        <v>40614</v>
      </c>
      <c r="L52" s="41" t="s">
        <v>180</v>
      </c>
      <c r="M52" s="41">
        <v>886</v>
      </c>
    </row>
    <row r="53" spans="1:13" x14ac:dyDescent="0.25">
      <c r="A53" s="40" t="s">
        <v>86</v>
      </c>
      <c r="B53" s="40" t="s">
        <v>12</v>
      </c>
      <c r="C53" s="40" t="s">
        <v>114</v>
      </c>
      <c r="D53" s="40" t="s">
        <v>181</v>
      </c>
      <c r="E53" s="40" t="s">
        <v>34</v>
      </c>
      <c r="F53" s="40" t="s">
        <v>159</v>
      </c>
      <c r="G53" s="41">
        <v>1</v>
      </c>
      <c r="H53" s="41">
        <v>16000</v>
      </c>
      <c r="I53" s="41">
        <v>0</v>
      </c>
      <c r="J53" s="41">
        <v>0</v>
      </c>
      <c r="K53" s="41">
        <v>15956</v>
      </c>
      <c r="L53" s="41" t="s">
        <v>182</v>
      </c>
      <c r="M53" s="41">
        <v>44</v>
      </c>
    </row>
    <row r="54" spans="1:13" x14ac:dyDescent="0.25">
      <c r="A54" s="40" t="s">
        <v>86</v>
      </c>
      <c r="B54" s="40" t="s">
        <v>12</v>
      </c>
      <c r="C54" s="40" t="s">
        <v>114</v>
      </c>
      <c r="D54" s="40" t="s">
        <v>183</v>
      </c>
      <c r="E54" s="40" t="s">
        <v>34</v>
      </c>
      <c r="F54" s="40" t="s">
        <v>184</v>
      </c>
      <c r="G54" s="41">
        <v>1</v>
      </c>
      <c r="H54" s="41">
        <v>29500</v>
      </c>
      <c r="I54" s="41">
        <v>0</v>
      </c>
      <c r="J54" s="41">
        <v>0</v>
      </c>
      <c r="K54" s="41">
        <v>29332</v>
      </c>
      <c r="L54" s="41" t="s">
        <v>185</v>
      </c>
      <c r="M54" s="41">
        <v>168</v>
      </c>
    </row>
    <row r="55" spans="1:13" x14ac:dyDescent="0.25">
      <c r="A55" s="40" t="s">
        <v>86</v>
      </c>
      <c r="B55" s="40" t="s">
        <v>12</v>
      </c>
      <c r="C55" s="40" t="s">
        <v>114</v>
      </c>
      <c r="D55" s="40" t="s">
        <v>186</v>
      </c>
      <c r="E55" s="40" t="s">
        <v>34</v>
      </c>
      <c r="F55" s="40" t="s">
        <v>127</v>
      </c>
      <c r="G55" s="41">
        <v>1</v>
      </c>
      <c r="H55" s="41">
        <v>18000</v>
      </c>
      <c r="I55" s="41">
        <v>0</v>
      </c>
      <c r="J55" s="41">
        <v>0</v>
      </c>
      <c r="K55" s="41">
        <v>17528</v>
      </c>
      <c r="L55" s="41" t="s">
        <v>187</v>
      </c>
      <c r="M55" s="41">
        <v>472</v>
      </c>
    </row>
    <row r="56" spans="1:13" x14ac:dyDescent="0.25">
      <c r="A56" s="40" t="s">
        <v>86</v>
      </c>
      <c r="B56" s="40" t="s">
        <v>12</v>
      </c>
      <c r="C56" s="40" t="s">
        <v>114</v>
      </c>
      <c r="D56" s="40" t="s">
        <v>188</v>
      </c>
      <c r="E56" s="40" t="s">
        <v>34</v>
      </c>
      <c r="F56" s="40" t="s">
        <v>189</v>
      </c>
      <c r="G56" s="41">
        <v>1</v>
      </c>
      <c r="H56" s="41">
        <v>136000</v>
      </c>
      <c r="I56" s="41">
        <v>0</v>
      </c>
      <c r="J56" s="41">
        <v>0</v>
      </c>
      <c r="K56" s="41">
        <v>132035</v>
      </c>
      <c r="L56" s="41" t="s">
        <v>190</v>
      </c>
      <c r="M56" s="41">
        <v>3965</v>
      </c>
    </row>
    <row r="57" spans="1:13" x14ac:dyDescent="0.25">
      <c r="A57" s="40" t="s">
        <v>86</v>
      </c>
      <c r="B57" s="40" t="s">
        <v>12</v>
      </c>
      <c r="C57" s="40" t="s">
        <v>114</v>
      </c>
      <c r="D57" s="40" t="s">
        <v>191</v>
      </c>
      <c r="E57" s="40" t="s">
        <v>45</v>
      </c>
      <c r="F57" s="40" t="s">
        <v>192</v>
      </c>
      <c r="G57" s="41">
        <v>1</v>
      </c>
      <c r="H57" s="41">
        <v>20500</v>
      </c>
      <c r="I57" s="41">
        <v>0</v>
      </c>
      <c r="J57" s="41">
        <v>0</v>
      </c>
      <c r="K57" s="41">
        <v>19404</v>
      </c>
      <c r="L57" s="41" t="s">
        <v>193</v>
      </c>
      <c r="M57" s="41">
        <v>1096</v>
      </c>
    </row>
    <row r="58" spans="1:13" x14ac:dyDescent="0.25">
      <c r="A58" s="40" t="s">
        <v>86</v>
      </c>
      <c r="B58" s="40" t="s">
        <v>12</v>
      </c>
      <c r="C58" s="40" t="s">
        <v>114</v>
      </c>
      <c r="D58" s="40" t="s">
        <v>194</v>
      </c>
      <c r="E58" s="40" t="s">
        <v>45</v>
      </c>
      <c r="F58" s="40" t="s">
        <v>156</v>
      </c>
      <c r="G58" s="41">
        <v>1</v>
      </c>
      <c r="H58" s="41">
        <v>16000</v>
      </c>
      <c r="I58" s="41">
        <v>0</v>
      </c>
      <c r="J58" s="41">
        <v>0</v>
      </c>
      <c r="K58" s="41">
        <v>14891</v>
      </c>
      <c r="L58" s="41" t="s">
        <v>195</v>
      </c>
      <c r="M58" s="41">
        <v>1109</v>
      </c>
    </row>
    <row r="59" spans="1:13" x14ac:dyDescent="0.25">
      <c r="A59" s="40" t="s">
        <v>196</v>
      </c>
      <c r="B59" s="40" t="s">
        <v>27</v>
      </c>
      <c r="C59" s="40" t="s">
        <v>87</v>
      </c>
      <c r="D59" s="40" t="s">
        <v>197</v>
      </c>
      <c r="E59" s="40" t="s">
        <v>24</v>
      </c>
      <c r="F59" s="40" t="s">
        <v>198</v>
      </c>
      <c r="G59" s="41">
        <v>1</v>
      </c>
      <c r="H59" s="41">
        <v>82900</v>
      </c>
      <c r="I59" s="41">
        <v>0</v>
      </c>
      <c r="J59" s="41">
        <v>0</v>
      </c>
      <c r="K59" s="41">
        <v>80397</v>
      </c>
      <c r="L59" s="41" t="s">
        <v>199</v>
      </c>
      <c r="M59" s="41">
        <v>2503</v>
      </c>
    </row>
    <row r="60" spans="1:13" x14ac:dyDescent="0.25">
      <c r="A60" s="40" t="s">
        <v>196</v>
      </c>
      <c r="B60" s="40" t="s">
        <v>27</v>
      </c>
      <c r="C60" s="40" t="s">
        <v>87</v>
      </c>
      <c r="D60" s="40" t="s">
        <v>200</v>
      </c>
      <c r="E60" s="40" t="s">
        <v>24</v>
      </c>
      <c r="F60" s="40" t="s">
        <v>201</v>
      </c>
      <c r="G60" s="41">
        <v>1</v>
      </c>
      <c r="H60" s="41">
        <v>82900</v>
      </c>
      <c r="I60" s="41">
        <v>0</v>
      </c>
      <c r="J60" s="41">
        <v>0</v>
      </c>
      <c r="K60" s="41">
        <v>80397</v>
      </c>
      <c r="L60" s="41" t="s">
        <v>202</v>
      </c>
      <c r="M60" s="41">
        <v>2503</v>
      </c>
    </row>
    <row r="61" spans="1:13" x14ac:dyDescent="0.25">
      <c r="A61" s="40" t="s">
        <v>196</v>
      </c>
      <c r="B61" s="40" t="s">
        <v>27</v>
      </c>
      <c r="C61" s="40" t="s">
        <v>87</v>
      </c>
      <c r="D61" s="40" t="s">
        <v>203</v>
      </c>
      <c r="E61" s="40" t="s">
        <v>41</v>
      </c>
      <c r="F61" s="40" t="s">
        <v>204</v>
      </c>
      <c r="G61" s="41">
        <v>1</v>
      </c>
      <c r="H61" s="41">
        <v>149000</v>
      </c>
      <c r="I61" s="41">
        <v>0</v>
      </c>
      <c r="J61" s="41">
        <v>0</v>
      </c>
      <c r="K61" s="41">
        <v>145373</v>
      </c>
      <c r="L61" s="41" t="s">
        <v>205</v>
      </c>
      <c r="M61" s="41">
        <v>3627</v>
      </c>
    </row>
    <row r="62" spans="1:13" x14ac:dyDescent="0.25">
      <c r="A62" s="40" t="s">
        <v>196</v>
      </c>
      <c r="B62" s="40" t="s">
        <v>27</v>
      </c>
      <c r="C62" s="40" t="s">
        <v>87</v>
      </c>
      <c r="D62" s="40" t="s">
        <v>206</v>
      </c>
      <c r="E62" s="40" t="s">
        <v>41</v>
      </c>
      <c r="F62" s="40" t="s">
        <v>204</v>
      </c>
      <c r="G62" s="41">
        <v>1</v>
      </c>
      <c r="H62" s="41">
        <v>149000</v>
      </c>
      <c r="I62" s="41">
        <v>0</v>
      </c>
      <c r="J62" s="41">
        <v>0</v>
      </c>
      <c r="K62" s="41">
        <v>145373</v>
      </c>
      <c r="L62" s="41" t="s">
        <v>207</v>
      </c>
      <c r="M62" s="41">
        <v>3627</v>
      </c>
    </row>
    <row r="63" spans="1:13" x14ac:dyDescent="0.25">
      <c r="A63" s="40" t="s">
        <v>196</v>
      </c>
      <c r="B63" s="40" t="s">
        <v>27</v>
      </c>
      <c r="C63" s="40" t="s">
        <v>28</v>
      </c>
      <c r="D63" s="40" t="s">
        <v>208</v>
      </c>
      <c r="E63" s="40" t="s">
        <v>15</v>
      </c>
      <c r="F63" s="40" t="s">
        <v>31</v>
      </c>
      <c r="G63" s="41">
        <v>1</v>
      </c>
      <c r="H63" s="41">
        <v>11600</v>
      </c>
      <c r="I63" s="41">
        <v>0</v>
      </c>
      <c r="J63" s="41">
        <v>0</v>
      </c>
      <c r="K63" s="41">
        <v>11654</v>
      </c>
      <c r="L63" s="41" t="s">
        <v>209</v>
      </c>
      <c r="M63" s="41">
        <v>-54</v>
      </c>
    </row>
    <row r="64" spans="1:13" x14ac:dyDescent="0.25">
      <c r="A64" s="40" t="s">
        <v>196</v>
      </c>
      <c r="B64" s="40" t="s">
        <v>27</v>
      </c>
      <c r="C64" s="40" t="s">
        <v>28</v>
      </c>
      <c r="D64" s="40" t="s">
        <v>210</v>
      </c>
      <c r="E64" s="40" t="s">
        <v>15</v>
      </c>
      <c r="F64" s="40" t="s">
        <v>211</v>
      </c>
      <c r="G64" s="41">
        <v>1</v>
      </c>
      <c r="H64" s="41">
        <v>14999</v>
      </c>
      <c r="I64" s="41">
        <v>0</v>
      </c>
      <c r="J64" s="41">
        <v>0</v>
      </c>
      <c r="K64" s="41">
        <v>14568</v>
      </c>
      <c r="L64" s="41" t="s">
        <v>212</v>
      </c>
      <c r="M64" s="41">
        <v>431</v>
      </c>
    </row>
    <row r="65" spans="1:13" x14ac:dyDescent="0.25">
      <c r="A65" s="40" t="s">
        <v>196</v>
      </c>
      <c r="B65" s="40" t="s">
        <v>27</v>
      </c>
      <c r="C65" s="40" t="s">
        <v>28</v>
      </c>
      <c r="D65" s="40" t="s">
        <v>213</v>
      </c>
      <c r="E65" s="40" t="s">
        <v>24</v>
      </c>
      <c r="F65" s="40" t="s">
        <v>112</v>
      </c>
      <c r="G65" s="41">
        <v>1</v>
      </c>
      <c r="H65" s="41">
        <v>32999</v>
      </c>
      <c r="I65" s="41">
        <v>0</v>
      </c>
      <c r="J65" s="41">
        <v>0</v>
      </c>
      <c r="K65" s="41">
        <v>31748</v>
      </c>
      <c r="L65" s="41" t="s">
        <v>214</v>
      </c>
      <c r="M65" s="41">
        <v>1251</v>
      </c>
    </row>
    <row r="66" spans="1:13" x14ac:dyDescent="0.25">
      <c r="A66" s="40" t="s">
        <v>196</v>
      </c>
      <c r="B66" s="40" t="s">
        <v>27</v>
      </c>
      <c r="C66" s="40" t="s">
        <v>28</v>
      </c>
      <c r="D66" s="40" t="s">
        <v>215</v>
      </c>
      <c r="E66" s="40" t="s">
        <v>95</v>
      </c>
      <c r="F66" s="40" t="s">
        <v>216</v>
      </c>
      <c r="G66" s="41">
        <v>1</v>
      </c>
      <c r="H66" s="41">
        <v>28500</v>
      </c>
      <c r="I66" s="41">
        <v>0</v>
      </c>
      <c r="J66" s="41">
        <v>0</v>
      </c>
      <c r="K66" s="41">
        <v>28862</v>
      </c>
      <c r="L66" s="41" t="s">
        <v>217</v>
      </c>
      <c r="M66" s="41">
        <v>-362</v>
      </c>
    </row>
    <row r="67" spans="1:13" x14ac:dyDescent="0.25">
      <c r="A67" s="40" t="s">
        <v>196</v>
      </c>
      <c r="B67" s="40" t="s">
        <v>27</v>
      </c>
      <c r="C67" s="40" t="s">
        <v>28</v>
      </c>
      <c r="D67" s="40" t="s">
        <v>218</v>
      </c>
      <c r="E67" s="40" t="s">
        <v>95</v>
      </c>
      <c r="F67" s="40" t="s">
        <v>219</v>
      </c>
      <c r="G67" s="41">
        <v>1</v>
      </c>
      <c r="H67" s="41">
        <v>12600</v>
      </c>
      <c r="I67" s="41">
        <v>0</v>
      </c>
      <c r="J67" s="41">
        <v>0</v>
      </c>
      <c r="K67" s="41">
        <v>12626</v>
      </c>
      <c r="L67" s="41" t="s">
        <v>220</v>
      </c>
      <c r="M67" s="41">
        <v>-26</v>
      </c>
    </row>
    <row r="68" spans="1:13" x14ac:dyDescent="0.25">
      <c r="A68" s="40" t="s">
        <v>196</v>
      </c>
      <c r="B68" s="40" t="s">
        <v>27</v>
      </c>
      <c r="C68" s="40" t="s">
        <v>28</v>
      </c>
      <c r="D68" s="40" t="s">
        <v>221</v>
      </c>
      <c r="E68" s="40" t="s">
        <v>95</v>
      </c>
      <c r="F68" s="40" t="s">
        <v>222</v>
      </c>
      <c r="G68" s="41">
        <v>1</v>
      </c>
      <c r="H68" s="41">
        <v>14699</v>
      </c>
      <c r="I68" s="41">
        <v>0</v>
      </c>
      <c r="J68" s="41">
        <v>0</v>
      </c>
      <c r="K68" s="41">
        <v>14568</v>
      </c>
      <c r="L68" s="41" t="s">
        <v>223</v>
      </c>
      <c r="M68" s="41">
        <v>131</v>
      </c>
    </row>
    <row r="69" spans="1:13" x14ac:dyDescent="0.25">
      <c r="A69" s="40" t="s">
        <v>196</v>
      </c>
      <c r="B69" s="40" t="s">
        <v>27</v>
      </c>
      <c r="C69" s="40" t="s">
        <v>28</v>
      </c>
      <c r="D69" s="40" t="s">
        <v>224</v>
      </c>
      <c r="E69" s="40" t="s">
        <v>135</v>
      </c>
      <c r="F69" s="40" t="s">
        <v>106</v>
      </c>
      <c r="G69" s="41">
        <v>1</v>
      </c>
      <c r="H69" s="41">
        <v>17000</v>
      </c>
      <c r="I69" s="41">
        <v>0</v>
      </c>
      <c r="J69" s="41">
        <v>0</v>
      </c>
      <c r="K69" s="41">
        <v>16511</v>
      </c>
      <c r="L69" s="41" t="s">
        <v>225</v>
      </c>
      <c r="M69" s="41">
        <v>489</v>
      </c>
    </row>
    <row r="70" spans="1:13" x14ac:dyDescent="0.25">
      <c r="A70" s="40" t="s">
        <v>196</v>
      </c>
      <c r="B70" s="40" t="s">
        <v>27</v>
      </c>
      <c r="C70" s="40" t="s">
        <v>28</v>
      </c>
      <c r="D70" s="40" t="s">
        <v>226</v>
      </c>
      <c r="E70" s="40" t="s">
        <v>105</v>
      </c>
      <c r="F70" s="40" t="s">
        <v>48</v>
      </c>
      <c r="G70" s="41">
        <v>1</v>
      </c>
      <c r="H70" s="41">
        <v>29999</v>
      </c>
      <c r="I70" s="41">
        <v>0</v>
      </c>
      <c r="J70" s="41">
        <v>0</v>
      </c>
      <c r="K70" s="41">
        <v>28862</v>
      </c>
      <c r="L70" s="41" t="s">
        <v>227</v>
      </c>
      <c r="M70" s="41">
        <v>1137</v>
      </c>
    </row>
    <row r="71" spans="1:13" x14ac:dyDescent="0.25">
      <c r="A71" s="40" t="s">
        <v>196</v>
      </c>
      <c r="B71" s="40" t="s">
        <v>27</v>
      </c>
      <c r="C71" s="40" t="s">
        <v>28</v>
      </c>
      <c r="D71" s="40" t="s">
        <v>228</v>
      </c>
      <c r="E71" s="40" t="s">
        <v>105</v>
      </c>
      <c r="F71" s="40" t="s">
        <v>229</v>
      </c>
      <c r="G71" s="41">
        <v>1</v>
      </c>
      <c r="H71" s="41">
        <v>20000</v>
      </c>
      <c r="I71" s="41">
        <v>0</v>
      </c>
      <c r="J71" s="41">
        <v>0</v>
      </c>
      <c r="K71" s="41">
        <v>20203</v>
      </c>
      <c r="L71" s="41" t="s">
        <v>230</v>
      </c>
      <c r="M71" s="41">
        <v>-203</v>
      </c>
    </row>
    <row r="72" spans="1:13" x14ac:dyDescent="0.25">
      <c r="A72" s="40" t="s">
        <v>196</v>
      </c>
      <c r="B72" s="40" t="s">
        <v>27</v>
      </c>
      <c r="C72" s="40" t="s">
        <v>28</v>
      </c>
      <c r="D72" s="40" t="s">
        <v>231</v>
      </c>
      <c r="E72" s="40" t="s">
        <v>30</v>
      </c>
      <c r="F72" s="40" t="s">
        <v>102</v>
      </c>
      <c r="G72" s="41">
        <v>1</v>
      </c>
      <c r="H72" s="41">
        <v>26999</v>
      </c>
      <c r="I72" s="41">
        <v>0</v>
      </c>
      <c r="J72" s="41">
        <v>0</v>
      </c>
      <c r="K72" s="41">
        <v>25975</v>
      </c>
      <c r="L72" s="41" t="s">
        <v>232</v>
      </c>
      <c r="M72" s="41">
        <v>1024</v>
      </c>
    </row>
    <row r="73" spans="1:13" x14ac:dyDescent="0.25">
      <c r="A73" s="40" t="s">
        <v>196</v>
      </c>
      <c r="B73" s="40" t="s">
        <v>27</v>
      </c>
      <c r="C73" s="40" t="s">
        <v>28</v>
      </c>
      <c r="D73" s="40" t="s">
        <v>233</v>
      </c>
      <c r="E73" s="40" t="s">
        <v>30</v>
      </c>
      <c r="F73" s="40" t="s">
        <v>234</v>
      </c>
      <c r="G73" s="41">
        <v>1</v>
      </c>
      <c r="H73" s="41">
        <v>32000</v>
      </c>
      <c r="I73" s="41">
        <v>0</v>
      </c>
      <c r="J73" s="41">
        <v>0</v>
      </c>
      <c r="K73" s="41">
        <v>31748</v>
      </c>
      <c r="L73" s="41" t="s">
        <v>235</v>
      </c>
      <c r="M73" s="41">
        <v>252</v>
      </c>
    </row>
    <row r="74" spans="1:13" x14ac:dyDescent="0.25">
      <c r="A74" s="40" t="s">
        <v>196</v>
      </c>
      <c r="B74" s="40" t="s">
        <v>27</v>
      </c>
      <c r="C74" s="40" t="s">
        <v>28</v>
      </c>
      <c r="D74" s="40" t="s">
        <v>236</v>
      </c>
      <c r="E74" s="40" t="s">
        <v>34</v>
      </c>
      <c r="F74" s="40" t="s">
        <v>38</v>
      </c>
      <c r="G74" s="41">
        <v>1</v>
      </c>
      <c r="H74" s="41">
        <v>12000</v>
      </c>
      <c r="I74" s="41">
        <v>0</v>
      </c>
      <c r="J74" s="41">
        <v>0</v>
      </c>
      <c r="K74" s="41">
        <v>12140</v>
      </c>
      <c r="L74" s="41" t="s">
        <v>237</v>
      </c>
      <c r="M74" s="41">
        <v>-140</v>
      </c>
    </row>
    <row r="75" spans="1:13" x14ac:dyDescent="0.25">
      <c r="A75" s="40" t="s">
        <v>196</v>
      </c>
      <c r="B75" s="40" t="s">
        <v>27</v>
      </c>
      <c r="C75" s="40" t="s">
        <v>28</v>
      </c>
      <c r="D75" s="40" t="s">
        <v>238</v>
      </c>
      <c r="E75" s="40" t="s">
        <v>41</v>
      </c>
      <c r="F75" s="40" t="s">
        <v>35</v>
      </c>
      <c r="G75" s="41">
        <v>1</v>
      </c>
      <c r="H75" s="41">
        <v>15500</v>
      </c>
      <c r="I75" s="41">
        <v>0</v>
      </c>
      <c r="J75" s="41">
        <v>0</v>
      </c>
      <c r="K75" s="41">
        <v>15540</v>
      </c>
      <c r="L75" s="41" t="s">
        <v>239</v>
      </c>
      <c r="M75" s="41">
        <v>-40</v>
      </c>
    </row>
    <row r="76" spans="1:13" x14ac:dyDescent="0.25">
      <c r="A76" s="40" t="s">
        <v>196</v>
      </c>
      <c r="B76" s="40" t="s">
        <v>27</v>
      </c>
      <c r="C76" s="40" t="s">
        <v>28</v>
      </c>
      <c r="D76" s="40" t="s">
        <v>240</v>
      </c>
      <c r="E76" s="40" t="s">
        <v>41</v>
      </c>
      <c r="F76" s="40" t="s">
        <v>35</v>
      </c>
      <c r="G76" s="41">
        <v>1</v>
      </c>
      <c r="H76" s="41">
        <v>15500</v>
      </c>
      <c r="I76" s="41">
        <v>0</v>
      </c>
      <c r="J76" s="41">
        <v>0</v>
      </c>
      <c r="K76" s="41">
        <v>15540</v>
      </c>
      <c r="L76" s="41" t="s">
        <v>241</v>
      </c>
      <c r="M76" s="41">
        <v>-40</v>
      </c>
    </row>
    <row r="77" spans="1:13" x14ac:dyDescent="0.25">
      <c r="A77" s="40" t="s">
        <v>196</v>
      </c>
      <c r="B77" s="40" t="s">
        <v>27</v>
      </c>
      <c r="C77" s="40" t="s">
        <v>28</v>
      </c>
      <c r="D77" s="40" t="s">
        <v>242</v>
      </c>
      <c r="E77" s="40" t="s">
        <v>45</v>
      </c>
      <c r="F77" s="40" t="s">
        <v>243</v>
      </c>
      <c r="G77" s="41">
        <v>1</v>
      </c>
      <c r="H77" s="41">
        <v>16999</v>
      </c>
      <c r="I77" s="41">
        <v>0</v>
      </c>
      <c r="J77" s="41">
        <v>0</v>
      </c>
      <c r="K77" s="41">
        <v>16511</v>
      </c>
      <c r="L77" s="41" t="s">
        <v>244</v>
      </c>
      <c r="M77" s="41">
        <v>488</v>
      </c>
    </row>
    <row r="78" spans="1:13" x14ac:dyDescent="0.25">
      <c r="A78" s="40" t="s">
        <v>196</v>
      </c>
      <c r="B78" s="40" t="s">
        <v>27</v>
      </c>
      <c r="C78" s="40" t="s">
        <v>22</v>
      </c>
      <c r="D78" s="40" t="s">
        <v>245</v>
      </c>
      <c r="E78" s="40" t="s">
        <v>15</v>
      </c>
      <c r="F78" s="40" t="s">
        <v>25</v>
      </c>
      <c r="G78" s="41">
        <v>1</v>
      </c>
      <c r="H78" s="41">
        <v>33200</v>
      </c>
      <c r="I78" s="41">
        <v>0</v>
      </c>
      <c r="J78" s="41">
        <v>0</v>
      </c>
      <c r="K78" s="41">
        <v>33129</v>
      </c>
      <c r="L78" s="41" t="s">
        <v>246</v>
      </c>
      <c r="M78" s="41">
        <v>71</v>
      </c>
    </row>
    <row r="79" spans="1:13" x14ac:dyDescent="0.25">
      <c r="A79" s="40" t="s">
        <v>196</v>
      </c>
      <c r="B79" s="40" t="s">
        <v>27</v>
      </c>
      <c r="C79" s="40" t="s">
        <v>247</v>
      </c>
      <c r="D79" s="40" t="s">
        <v>248</v>
      </c>
      <c r="E79" s="40" t="s">
        <v>109</v>
      </c>
      <c r="F79" s="40" t="s">
        <v>249</v>
      </c>
      <c r="G79" s="41">
        <v>1</v>
      </c>
      <c r="H79" s="41">
        <v>11000</v>
      </c>
      <c r="I79" s="41">
        <v>0</v>
      </c>
      <c r="J79" s="41">
        <v>0</v>
      </c>
      <c r="K79" s="41">
        <v>10807</v>
      </c>
      <c r="L79" s="41" t="s">
        <v>250</v>
      </c>
      <c r="M79" s="41">
        <v>193</v>
      </c>
    </row>
    <row r="80" spans="1:13" x14ac:dyDescent="0.25">
      <c r="A80" s="40" t="s">
        <v>196</v>
      </c>
      <c r="B80" s="40" t="s">
        <v>27</v>
      </c>
      <c r="C80" s="40" t="s">
        <v>247</v>
      </c>
      <c r="D80" s="40" t="s">
        <v>251</v>
      </c>
      <c r="E80" s="40" t="s">
        <v>34</v>
      </c>
      <c r="F80" s="40" t="s">
        <v>249</v>
      </c>
      <c r="G80" s="41">
        <v>1</v>
      </c>
      <c r="H80" s="41">
        <v>11000</v>
      </c>
      <c r="I80" s="41">
        <v>0</v>
      </c>
      <c r="J80" s="41">
        <v>0</v>
      </c>
      <c r="K80" s="41">
        <v>10807</v>
      </c>
      <c r="L80" s="41" t="s">
        <v>252</v>
      </c>
      <c r="M80" s="41">
        <v>193</v>
      </c>
    </row>
    <row r="81" spans="1:13" x14ac:dyDescent="0.25">
      <c r="A81" s="40" t="s">
        <v>196</v>
      </c>
      <c r="B81" s="40" t="s">
        <v>27</v>
      </c>
      <c r="C81" s="40" t="s">
        <v>50</v>
      </c>
      <c r="D81" s="40" t="s">
        <v>253</v>
      </c>
      <c r="E81" s="40" t="s">
        <v>105</v>
      </c>
      <c r="F81" s="40" t="s">
        <v>254</v>
      </c>
      <c r="G81" s="41">
        <v>1</v>
      </c>
      <c r="H81" s="41">
        <v>30500</v>
      </c>
      <c r="I81" s="41">
        <v>0</v>
      </c>
      <c r="J81" s="41">
        <v>0</v>
      </c>
      <c r="K81" s="41">
        <v>29186</v>
      </c>
      <c r="L81" s="41" t="s">
        <v>255</v>
      </c>
      <c r="M81" s="41">
        <v>1314</v>
      </c>
    </row>
    <row r="82" spans="1:13" x14ac:dyDescent="0.25">
      <c r="A82" s="40" t="s">
        <v>196</v>
      </c>
      <c r="B82" s="40" t="s">
        <v>27</v>
      </c>
      <c r="C82" s="40" t="s">
        <v>114</v>
      </c>
      <c r="D82" s="40" t="s">
        <v>256</v>
      </c>
      <c r="E82" s="40" t="s">
        <v>15</v>
      </c>
      <c r="F82" s="40" t="s">
        <v>257</v>
      </c>
      <c r="G82" s="41">
        <v>1</v>
      </c>
      <c r="H82" s="41">
        <v>32499</v>
      </c>
      <c r="I82" s="41">
        <v>0</v>
      </c>
      <c r="J82" s="41">
        <v>0</v>
      </c>
      <c r="K82" s="41">
        <v>29332</v>
      </c>
      <c r="L82" s="41" t="s">
        <v>258</v>
      </c>
      <c r="M82" s="41">
        <v>3167</v>
      </c>
    </row>
    <row r="83" spans="1:13" x14ac:dyDescent="0.25">
      <c r="A83" s="40" t="s">
        <v>196</v>
      </c>
      <c r="B83" s="40" t="s">
        <v>27</v>
      </c>
      <c r="C83" s="40" t="s">
        <v>114</v>
      </c>
      <c r="D83" s="40" t="s">
        <v>259</v>
      </c>
      <c r="E83" s="40" t="s">
        <v>41</v>
      </c>
      <c r="F83" s="40" t="s">
        <v>173</v>
      </c>
      <c r="G83" s="41">
        <v>1</v>
      </c>
      <c r="H83" s="41">
        <v>21700</v>
      </c>
      <c r="I83" s="41">
        <v>0</v>
      </c>
      <c r="J83" s="41">
        <v>0</v>
      </c>
      <c r="K83" s="41">
        <v>21968</v>
      </c>
      <c r="L83" s="41" t="s">
        <v>260</v>
      </c>
      <c r="M83" s="41">
        <v>-268</v>
      </c>
    </row>
    <row r="84" spans="1:13" x14ac:dyDescent="0.25">
      <c r="A84" s="40" t="s">
        <v>196</v>
      </c>
      <c r="B84" s="40" t="s">
        <v>27</v>
      </c>
      <c r="C84" s="40" t="s">
        <v>114</v>
      </c>
      <c r="D84" s="40" t="s">
        <v>261</v>
      </c>
      <c r="E84" s="40" t="s">
        <v>41</v>
      </c>
      <c r="F84" s="40" t="s">
        <v>173</v>
      </c>
      <c r="G84" s="41">
        <v>1</v>
      </c>
      <c r="H84" s="41">
        <v>22000</v>
      </c>
      <c r="I84" s="41">
        <v>0</v>
      </c>
      <c r="J84" s="41">
        <v>0</v>
      </c>
      <c r="K84" s="41">
        <v>21968</v>
      </c>
      <c r="L84" s="41" t="s">
        <v>262</v>
      </c>
      <c r="M84" s="41">
        <v>32</v>
      </c>
    </row>
    <row r="85" spans="1:13" x14ac:dyDescent="0.25">
      <c r="A85" s="40" t="s">
        <v>196</v>
      </c>
      <c r="B85" s="40" t="s">
        <v>27</v>
      </c>
      <c r="C85" s="40" t="s">
        <v>114</v>
      </c>
      <c r="D85" s="40" t="s">
        <v>263</v>
      </c>
      <c r="E85" s="40" t="s">
        <v>45</v>
      </c>
      <c r="F85" s="40" t="s">
        <v>264</v>
      </c>
      <c r="G85" s="41">
        <v>1</v>
      </c>
      <c r="H85" s="41">
        <v>21600</v>
      </c>
      <c r="I85" s="41">
        <v>0</v>
      </c>
      <c r="J85" s="41">
        <v>0</v>
      </c>
      <c r="K85" s="41">
        <v>21209</v>
      </c>
      <c r="L85" s="41" t="s">
        <v>265</v>
      </c>
      <c r="M85" s="41">
        <v>391</v>
      </c>
    </row>
    <row r="86" spans="1:13" x14ac:dyDescent="0.25">
      <c r="A86" s="40" t="s">
        <v>196</v>
      </c>
      <c r="B86" s="40" t="s">
        <v>27</v>
      </c>
      <c r="C86" s="40" t="s">
        <v>60</v>
      </c>
      <c r="D86" s="40" t="s">
        <v>266</v>
      </c>
      <c r="E86" s="40" t="s">
        <v>15</v>
      </c>
      <c r="F86" s="40" t="s">
        <v>267</v>
      </c>
      <c r="G86" s="41">
        <v>1</v>
      </c>
      <c r="H86" s="41">
        <v>22000</v>
      </c>
      <c r="I86" s="41">
        <v>0</v>
      </c>
      <c r="J86" s="41">
        <v>0</v>
      </c>
      <c r="K86" s="41">
        <v>21563</v>
      </c>
      <c r="L86" s="41" t="s">
        <v>268</v>
      </c>
      <c r="M86" s="41">
        <v>437</v>
      </c>
    </row>
    <row r="87" spans="1:13" x14ac:dyDescent="0.25">
      <c r="A87" s="40" t="s">
        <v>196</v>
      </c>
      <c r="B87" s="40" t="s">
        <v>27</v>
      </c>
      <c r="C87" s="40" t="s">
        <v>60</v>
      </c>
      <c r="D87" s="40" t="s">
        <v>269</v>
      </c>
      <c r="E87" s="40" t="s">
        <v>15</v>
      </c>
      <c r="F87" s="40" t="s">
        <v>270</v>
      </c>
      <c r="G87" s="41">
        <v>1</v>
      </c>
      <c r="H87" s="41">
        <v>27000</v>
      </c>
      <c r="I87" s="41">
        <v>0</v>
      </c>
      <c r="J87" s="41">
        <v>0</v>
      </c>
      <c r="K87" s="41">
        <v>25878</v>
      </c>
      <c r="L87" s="41" t="s">
        <v>271</v>
      </c>
      <c r="M87" s="41">
        <v>1122</v>
      </c>
    </row>
    <row r="88" spans="1:13" x14ac:dyDescent="0.25">
      <c r="A88" s="40" t="s">
        <v>196</v>
      </c>
      <c r="B88" s="40" t="s">
        <v>27</v>
      </c>
      <c r="C88" s="40" t="s">
        <v>60</v>
      </c>
      <c r="D88" s="40" t="s">
        <v>272</v>
      </c>
      <c r="E88" s="40" t="s">
        <v>15</v>
      </c>
      <c r="F88" s="40" t="s">
        <v>80</v>
      </c>
      <c r="G88" s="41">
        <v>1</v>
      </c>
      <c r="H88" s="41">
        <v>23000</v>
      </c>
      <c r="I88" s="41">
        <v>0</v>
      </c>
      <c r="J88" s="41">
        <v>0</v>
      </c>
      <c r="K88" s="41">
        <v>23147</v>
      </c>
      <c r="L88" s="41" t="s">
        <v>273</v>
      </c>
      <c r="M88" s="41">
        <v>-147</v>
      </c>
    </row>
    <row r="89" spans="1:13" x14ac:dyDescent="0.25">
      <c r="A89" s="40" t="s">
        <v>196</v>
      </c>
      <c r="B89" s="40" t="s">
        <v>27</v>
      </c>
      <c r="C89" s="40" t="s">
        <v>60</v>
      </c>
      <c r="D89" s="40" t="s">
        <v>274</v>
      </c>
      <c r="E89" s="40" t="s">
        <v>24</v>
      </c>
      <c r="F89" s="40" t="s">
        <v>275</v>
      </c>
      <c r="G89" s="41">
        <v>1</v>
      </c>
      <c r="H89" s="41">
        <v>17500</v>
      </c>
      <c r="I89" s="41">
        <v>0</v>
      </c>
      <c r="J89" s="41">
        <v>0</v>
      </c>
      <c r="K89" s="41">
        <v>17482</v>
      </c>
      <c r="L89" s="41" t="s">
        <v>276</v>
      </c>
      <c r="M89" s="41">
        <v>18</v>
      </c>
    </row>
    <row r="90" spans="1:13" x14ac:dyDescent="0.25">
      <c r="A90" s="40" t="s">
        <v>196</v>
      </c>
      <c r="B90" s="40" t="s">
        <v>27</v>
      </c>
      <c r="C90" s="40" t="s">
        <v>60</v>
      </c>
      <c r="D90" s="40" t="s">
        <v>277</v>
      </c>
      <c r="E90" s="40" t="s">
        <v>24</v>
      </c>
      <c r="F90" s="40" t="s">
        <v>278</v>
      </c>
      <c r="G90" s="41">
        <v>1</v>
      </c>
      <c r="H90" s="41">
        <v>18500</v>
      </c>
      <c r="I90" s="41">
        <v>0</v>
      </c>
      <c r="J90" s="41">
        <v>0</v>
      </c>
      <c r="K90" s="41">
        <v>18320</v>
      </c>
      <c r="L90" s="41" t="s">
        <v>279</v>
      </c>
      <c r="M90" s="41">
        <v>180</v>
      </c>
    </row>
    <row r="91" spans="1:13" x14ac:dyDescent="0.25">
      <c r="A91" s="40" t="s">
        <v>196</v>
      </c>
      <c r="B91" s="40" t="s">
        <v>27</v>
      </c>
      <c r="C91" s="40" t="s">
        <v>60</v>
      </c>
      <c r="D91" s="40" t="s">
        <v>280</v>
      </c>
      <c r="E91" s="40" t="s">
        <v>95</v>
      </c>
      <c r="F91" s="40" t="s">
        <v>65</v>
      </c>
      <c r="G91" s="41">
        <v>1</v>
      </c>
      <c r="H91" s="41">
        <v>41500</v>
      </c>
      <c r="I91" s="41">
        <v>0</v>
      </c>
      <c r="J91" s="41">
        <v>0</v>
      </c>
      <c r="K91" s="41">
        <v>42253</v>
      </c>
      <c r="L91" s="41" t="s">
        <v>281</v>
      </c>
      <c r="M91" s="41">
        <v>-753</v>
      </c>
    </row>
    <row r="92" spans="1:13" x14ac:dyDescent="0.25">
      <c r="A92" s="40" t="s">
        <v>196</v>
      </c>
      <c r="B92" s="40" t="s">
        <v>27</v>
      </c>
      <c r="C92" s="40" t="s">
        <v>60</v>
      </c>
      <c r="D92" s="40" t="s">
        <v>282</v>
      </c>
      <c r="E92" s="40" t="s">
        <v>95</v>
      </c>
      <c r="F92" s="40" t="s">
        <v>283</v>
      </c>
      <c r="G92" s="41">
        <v>1</v>
      </c>
      <c r="H92" s="41">
        <v>51699</v>
      </c>
      <c r="I92" s="41">
        <v>0</v>
      </c>
      <c r="J92" s="41">
        <v>0</v>
      </c>
      <c r="K92" s="41">
        <v>52279</v>
      </c>
      <c r="L92" s="41" t="s">
        <v>284</v>
      </c>
      <c r="M92" s="41">
        <v>-580</v>
      </c>
    </row>
    <row r="93" spans="1:13" x14ac:dyDescent="0.25">
      <c r="A93" s="40" t="s">
        <v>196</v>
      </c>
      <c r="B93" s="40" t="s">
        <v>27</v>
      </c>
      <c r="C93" s="40" t="s">
        <v>60</v>
      </c>
      <c r="D93" s="40" t="s">
        <v>285</v>
      </c>
      <c r="E93" s="40" t="s">
        <v>135</v>
      </c>
      <c r="F93" s="40" t="s">
        <v>286</v>
      </c>
      <c r="G93" s="41">
        <v>1</v>
      </c>
      <c r="H93" s="41">
        <v>51500</v>
      </c>
      <c r="I93" s="41">
        <v>0</v>
      </c>
      <c r="J93" s="41">
        <v>0</v>
      </c>
      <c r="K93" s="41">
        <v>52279</v>
      </c>
      <c r="L93" s="41" t="s">
        <v>287</v>
      </c>
      <c r="M93" s="41">
        <v>-779</v>
      </c>
    </row>
    <row r="94" spans="1:13" x14ac:dyDescent="0.25">
      <c r="A94" s="40" t="s">
        <v>196</v>
      </c>
      <c r="B94" s="40" t="s">
        <v>27</v>
      </c>
      <c r="C94" s="40" t="s">
        <v>60</v>
      </c>
      <c r="D94" s="40" t="s">
        <v>288</v>
      </c>
      <c r="E94" s="40" t="s">
        <v>135</v>
      </c>
      <c r="F94" s="40" t="s">
        <v>289</v>
      </c>
      <c r="G94" s="41">
        <v>1</v>
      </c>
      <c r="H94" s="41">
        <v>47701</v>
      </c>
      <c r="I94" s="41">
        <v>0</v>
      </c>
      <c r="J94" s="41">
        <v>0</v>
      </c>
      <c r="K94" s="41">
        <v>47689</v>
      </c>
      <c r="L94" s="41" t="s">
        <v>290</v>
      </c>
      <c r="M94" s="41">
        <v>12</v>
      </c>
    </row>
    <row r="95" spans="1:13" x14ac:dyDescent="0.25">
      <c r="A95" s="40" t="s">
        <v>196</v>
      </c>
      <c r="B95" s="40" t="s">
        <v>27</v>
      </c>
      <c r="C95" s="40" t="s">
        <v>60</v>
      </c>
      <c r="D95" s="40" t="s">
        <v>291</v>
      </c>
      <c r="E95" s="40" t="s">
        <v>135</v>
      </c>
      <c r="F95" s="40" t="s">
        <v>62</v>
      </c>
      <c r="G95" s="41">
        <v>1</v>
      </c>
      <c r="H95" s="41">
        <v>15500</v>
      </c>
      <c r="I95" s="41">
        <v>0</v>
      </c>
      <c r="J95" s="41">
        <v>0</v>
      </c>
      <c r="K95" s="41">
        <v>15847</v>
      </c>
      <c r="L95" s="41" t="s">
        <v>292</v>
      </c>
      <c r="M95" s="41">
        <v>-347</v>
      </c>
    </row>
    <row r="96" spans="1:13" x14ac:dyDescent="0.25">
      <c r="A96" s="40" t="s">
        <v>196</v>
      </c>
      <c r="B96" s="40" t="s">
        <v>27</v>
      </c>
      <c r="C96" s="40" t="s">
        <v>60</v>
      </c>
      <c r="D96" s="40" t="s">
        <v>293</v>
      </c>
      <c r="E96" s="40" t="s">
        <v>135</v>
      </c>
      <c r="F96" s="40" t="s">
        <v>294</v>
      </c>
      <c r="G96" s="41">
        <v>1</v>
      </c>
      <c r="H96" s="41">
        <v>24000</v>
      </c>
      <c r="I96" s="41">
        <v>0</v>
      </c>
      <c r="J96" s="41">
        <v>0</v>
      </c>
      <c r="K96" s="41">
        <v>23990</v>
      </c>
      <c r="L96" s="41" t="s">
        <v>295</v>
      </c>
      <c r="M96" s="41">
        <v>10</v>
      </c>
    </row>
    <row r="97" spans="1:13" x14ac:dyDescent="0.25">
      <c r="A97" s="40" t="s">
        <v>196</v>
      </c>
      <c r="B97" s="40" t="s">
        <v>27</v>
      </c>
      <c r="C97" s="40" t="s">
        <v>60</v>
      </c>
      <c r="D97" s="40" t="s">
        <v>296</v>
      </c>
      <c r="E97" s="40" t="s">
        <v>135</v>
      </c>
      <c r="F97" s="40" t="s">
        <v>80</v>
      </c>
      <c r="G97" s="41">
        <v>1</v>
      </c>
      <c r="H97" s="41">
        <v>24158</v>
      </c>
      <c r="I97" s="41">
        <v>0</v>
      </c>
      <c r="J97" s="41">
        <v>0</v>
      </c>
      <c r="K97" s="41">
        <v>23147</v>
      </c>
      <c r="L97" s="41" t="s">
        <v>297</v>
      </c>
      <c r="M97" s="41">
        <v>1011</v>
      </c>
    </row>
    <row r="98" spans="1:13" x14ac:dyDescent="0.25">
      <c r="A98" s="40" t="s">
        <v>196</v>
      </c>
      <c r="B98" s="40" t="s">
        <v>27</v>
      </c>
      <c r="C98" s="40" t="s">
        <v>60</v>
      </c>
      <c r="D98" s="40" t="s">
        <v>298</v>
      </c>
      <c r="E98" s="40" t="s">
        <v>135</v>
      </c>
      <c r="F98" s="40" t="s">
        <v>71</v>
      </c>
      <c r="G98" s="41">
        <v>1</v>
      </c>
      <c r="H98" s="41">
        <v>71000</v>
      </c>
      <c r="I98" s="41">
        <v>0</v>
      </c>
      <c r="J98" s="41">
        <v>0</v>
      </c>
      <c r="K98" s="41">
        <v>69202</v>
      </c>
      <c r="L98" s="41" t="s">
        <v>299</v>
      </c>
      <c r="M98" s="41">
        <v>1798</v>
      </c>
    </row>
    <row r="99" spans="1:13" x14ac:dyDescent="0.25">
      <c r="A99" s="40" t="s">
        <v>196</v>
      </c>
      <c r="B99" s="40" t="s">
        <v>27</v>
      </c>
      <c r="C99" s="40" t="s">
        <v>60</v>
      </c>
      <c r="D99" s="40" t="s">
        <v>300</v>
      </c>
      <c r="E99" s="40" t="s">
        <v>135</v>
      </c>
      <c r="F99" s="40" t="s">
        <v>301</v>
      </c>
      <c r="G99" s="41">
        <v>1</v>
      </c>
      <c r="H99" s="41">
        <v>20611</v>
      </c>
      <c r="I99" s="41">
        <v>0</v>
      </c>
      <c r="J99" s="41">
        <v>0</v>
      </c>
      <c r="K99" s="41">
        <v>19370</v>
      </c>
      <c r="L99" s="41" t="s">
        <v>302</v>
      </c>
      <c r="M99" s="41">
        <v>1241</v>
      </c>
    </row>
    <row r="100" spans="1:13" x14ac:dyDescent="0.25">
      <c r="A100" s="40" t="s">
        <v>196</v>
      </c>
      <c r="B100" s="40" t="s">
        <v>27</v>
      </c>
      <c r="C100" s="40" t="s">
        <v>60</v>
      </c>
      <c r="D100" s="40" t="s">
        <v>303</v>
      </c>
      <c r="E100" s="40" t="s">
        <v>105</v>
      </c>
      <c r="F100" s="40" t="s">
        <v>304</v>
      </c>
      <c r="G100" s="41">
        <v>1</v>
      </c>
      <c r="H100" s="41">
        <v>14000</v>
      </c>
      <c r="I100" s="41">
        <v>0</v>
      </c>
      <c r="J100" s="41">
        <v>0</v>
      </c>
      <c r="K100" s="41">
        <v>14010</v>
      </c>
      <c r="L100" s="41" t="s">
        <v>305</v>
      </c>
      <c r="M100" s="41">
        <v>-10</v>
      </c>
    </row>
    <row r="101" spans="1:13" x14ac:dyDescent="0.25">
      <c r="A101" s="40" t="s">
        <v>196</v>
      </c>
      <c r="B101" s="40" t="s">
        <v>27</v>
      </c>
      <c r="C101" s="40" t="s">
        <v>60</v>
      </c>
      <c r="D101" s="40" t="s">
        <v>306</v>
      </c>
      <c r="E101" s="40" t="s">
        <v>109</v>
      </c>
      <c r="F101" s="40" t="s">
        <v>307</v>
      </c>
      <c r="G101" s="41">
        <v>1</v>
      </c>
      <c r="H101" s="41">
        <v>9600</v>
      </c>
      <c r="I101" s="41">
        <v>0</v>
      </c>
      <c r="J101" s="41">
        <v>0</v>
      </c>
      <c r="K101" s="41">
        <v>9439</v>
      </c>
      <c r="L101" s="41" t="s">
        <v>308</v>
      </c>
      <c r="M101" s="41">
        <v>161</v>
      </c>
    </row>
    <row r="102" spans="1:13" x14ac:dyDescent="0.25">
      <c r="A102" s="40" t="s">
        <v>196</v>
      </c>
      <c r="B102" s="40" t="s">
        <v>27</v>
      </c>
      <c r="C102" s="40" t="s">
        <v>60</v>
      </c>
      <c r="D102" s="40" t="s">
        <v>309</v>
      </c>
      <c r="E102" s="40" t="s">
        <v>109</v>
      </c>
      <c r="F102" s="40" t="s">
        <v>65</v>
      </c>
      <c r="G102" s="41">
        <v>1</v>
      </c>
      <c r="H102" s="41">
        <v>43000</v>
      </c>
      <c r="I102" s="41">
        <v>0</v>
      </c>
      <c r="J102" s="41">
        <v>0</v>
      </c>
      <c r="K102" s="41">
        <v>42253</v>
      </c>
      <c r="L102" s="41" t="s">
        <v>310</v>
      </c>
      <c r="M102" s="41">
        <v>747</v>
      </c>
    </row>
    <row r="103" spans="1:13" x14ac:dyDescent="0.25">
      <c r="A103" s="40" t="s">
        <v>196</v>
      </c>
      <c r="B103" s="40" t="s">
        <v>27</v>
      </c>
      <c r="C103" s="40" t="s">
        <v>60</v>
      </c>
      <c r="D103" s="40" t="s">
        <v>311</v>
      </c>
      <c r="E103" s="40" t="s">
        <v>30</v>
      </c>
      <c r="F103" s="40" t="s">
        <v>275</v>
      </c>
      <c r="G103" s="41">
        <v>1</v>
      </c>
      <c r="H103" s="41">
        <v>17852</v>
      </c>
      <c r="I103" s="41">
        <v>0</v>
      </c>
      <c r="J103" s="41">
        <v>0</v>
      </c>
      <c r="K103" s="41">
        <v>17482</v>
      </c>
      <c r="L103" s="41" t="s">
        <v>312</v>
      </c>
      <c r="M103" s="41">
        <v>370</v>
      </c>
    </row>
    <row r="104" spans="1:13" x14ac:dyDescent="0.25">
      <c r="A104" s="40" t="s">
        <v>196</v>
      </c>
      <c r="B104" s="40" t="s">
        <v>27</v>
      </c>
      <c r="C104" s="40" t="s">
        <v>60</v>
      </c>
      <c r="D104" s="40" t="s">
        <v>313</v>
      </c>
      <c r="E104" s="40" t="s">
        <v>30</v>
      </c>
      <c r="F104" s="40" t="s">
        <v>314</v>
      </c>
      <c r="G104" s="41">
        <v>1</v>
      </c>
      <c r="H104" s="41">
        <v>38499</v>
      </c>
      <c r="I104" s="41">
        <v>0</v>
      </c>
      <c r="J104" s="41">
        <v>0</v>
      </c>
      <c r="K104" s="41">
        <v>37663</v>
      </c>
      <c r="L104" s="41" t="s">
        <v>315</v>
      </c>
      <c r="M104" s="41">
        <v>836</v>
      </c>
    </row>
    <row r="105" spans="1:13" x14ac:dyDescent="0.25">
      <c r="A105" s="40" t="s">
        <v>196</v>
      </c>
      <c r="B105" s="40" t="s">
        <v>27</v>
      </c>
      <c r="C105" s="40" t="s">
        <v>60</v>
      </c>
      <c r="D105" s="40" t="s">
        <v>316</v>
      </c>
      <c r="E105" s="40" t="s">
        <v>30</v>
      </c>
      <c r="F105" s="40" t="s">
        <v>74</v>
      </c>
      <c r="G105" s="41">
        <v>1</v>
      </c>
      <c r="H105" s="41">
        <v>14000</v>
      </c>
      <c r="I105" s="41">
        <v>0</v>
      </c>
      <c r="J105" s="41">
        <v>0</v>
      </c>
      <c r="K105" s="41">
        <v>14010</v>
      </c>
      <c r="L105" s="41" t="s">
        <v>317</v>
      </c>
      <c r="M105" s="41">
        <v>-10</v>
      </c>
    </row>
    <row r="106" spans="1:13" x14ac:dyDescent="0.25">
      <c r="A106" s="40" t="s">
        <v>196</v>
      </c>
      <c r="B106" s="40" t="s">
        <v>27</v>
      </c>
      <c r="C106" s="40" t="s">
        <v>60</v>
      </c>
      <c r="D106" s="40" t="s">
        <v>318</v>
      </c>
      <c r="E106" s="40" t="s">
        <v>30</v>
      </c>
      <c r="F106" s="40" t="s">
        <v>319</v>
      </c>
      <c r="G106" s="41">
        <v>1</v>
      </c>
      <c r="H106" s="41">
        <v>9500</v>
      </c>
      <c r="I106" s="41">
        <v>0</v>
      </c>
      <c r="J106" s="41">
        <v>0</v>
      </c>
      <c r="K106" s="41">
        <v>9439</v>
      </c>
      <c r="L106" s="41" t="s">
        <v>320</v>
      </c>
      <c r="M106" s="41">
        <v>61</v>
      </c>
    </row>
    <row r="107" spans="1:13" x14ac:dyDescent="0.25">
      <c r="A107" s="40" t="s">
        <v>196</v>
      </c>
      <c r="B107" s="40" t="s">
        <v>27</v>
      </c>
      <c r="C107" s="40" t="s">
        <v>60</v>
      </c>
      <c r="D107" s="40" t="s">
        <v>321</v>
      </c>
      <c r="E107" s="40" t="s">
        <v>30</v>
      </c>
      <c r="F107" s="40" t="s">
        <v>322</v>
      </c>
      <c r="G107" s="41">
        <v>1</v>
      </c>
      <c r="H107" s="41">
        <v>34499</v>
      </c>
      <c r="I107" s="41">
        <v>0</v>
      </c>
      <c r="J107" s="41">
        <v>0</v>
      </c>
      <c r="K107" s="41">
        <v>35123</v>
      </c>
      <c r="L107" s="41" t="s">
        <v>323</v>
      </c>
      <c r="M107" s="41">
        <v>-624</v>
      </c>
    </row>
    <row r="108" spans="1:13" x14ac:dyDescent="0.25">
      <c r="A108" s="40" t="s">
        <v>196</v>
      </c>
      <c r="B108" s="40" t="s">
        <v>27</v>
      </c>
      <c r="C108" s="40" t="s">
        <v>60</v>
      </c>
      <c r="D108" s="40" t="s">
        <v>324</v>
      </c>
      <c r="E108" s="40" t="s">
        <v>30</v>
      </c>
      <c r="F108" s="40" t="s">
        <v>74</v>
      </c>
      <c r="G108" s="41">
        <v>1</v>
      </c>
      <c r="H108" s="41">
        <v>14200</v>
      </c>
      <c r="I108" s="41">
        <v>0</v>
      </c>
      <c r="J108" s="41">
        <v>0</v>
      </c>
      <c r="K108" s="41">
        <v>14010</v>
      </c>
      <c r="L108" s="41" t="s">
        <v>325</v>
      </c>
      <c r="M108" s="41">
        <v>190</v>
      </c>
    </row>
    <row r="109" spans="1:13" x14ac:dyDescent="0.25">
      <c r="A109" s="40" t="s">
        <v>196</v>
      </c>
      <c r="B109" s="40" t="s">
        <v>27</v>
      </c>
      <c r="C109" s="40" t="s">
        <v>60</v>
      </c>
      <c r="D109" s="40" t="s">
        <v>326</v>
      </c>
      <c r="E109" s="40" t="s">
        <v>30</v>
      </c>
      <c r="F109" s="40" t="s">
        <v>71</v>
      </c>
      <c r="G109" s="41">
        <v>1</v>
      </c>
      <c r="H109" s="41">
        <v>70499</v>
      </c>
      <c r="I109" s="41">
        <v>0</v>
      </c>
      <c r="J109" s="41">
        <v>0</v>
      </c>
      <c r="K109" s="41">
        <v>69202</v>
      </c>
      <c r="L109" s="41" t="s">
        <v>327</v>
      </c>
      <c r="M109" s="41">
        <v>1297</v>
      </c>
    </row>
    <row r="110" spans="1:13" x14ac:dyDescent="0.25">
      <c r="A110" s="40" t="s">
        <v>196</v>
      </c>
      <c r="B110" s="40" t="s">
        <v>27</v>
      </c>
      <c r="C110" s="40" t="s">
        <v>60</v>
      </c>
      <c r="D110" s="40" t="s">
        <v>328</v>
      </c>
      <c r="E110" s="40" t="s">
        <v>34</v>
      </c>
      <c r="F110" s="40" t="s">
        <v>329</v>
      </c>
      <c r="G110" s="41">
        <v>1</v>
      </c>
      <c r="H110" s="41">
        <v>23500</v>
      </c>
      <c r="I110" s="41">
        <v>0</v>
      </c>
      <c r="J110" s="41">
        <v>0</v>
      </c>
      <c r="K110" s="41">
        <v>23147</v>
      </c>
      <c r="L110" s="41" t="s">
        <v>330</v>
      </c>
      <c r="M110" s="41">
        <v>353</v>
      </c>
    </row>
    <row r="111" spans="1:13" x14ac:dyDescent="0.25">
      <c r="A111" s="40" t="s">
        <v>196</v>
      </c>
      <c r="B111" s="40" t="s">
        <v>27</v>
      </c>
      <c r="C111" s="40" t="s">
        <v>60</v>
      </c>
      <c r="D111" s="40" t="s">
        <v>331</v>
      </c>
      <c r="E111" s="40" t="s">
        <v>34</v>
      </c>
      <c r="F111" s="40" t="s">
        <v>68</v>
      </c>
      <c r="G111" s="41">
        <v>1</v>
      </c>
      <c r="H111" s="41">
        <v>17100</v>
      </c>
      <c r="I111" s="41">
        <v>0</v>
      </c>
      <c r="J111" s="41">
        <v>0</v>
      </c>
      <c r="K111" s="41">
        <v>17482</v>
      </c>
      <c r="L111" s="41" t="s">
        <v>332</v>
      </c>
      <c r="M111" s="41">
        <v>-382</v>
      </c>
    </row>
    <row r="112" spans="1:13" x14ac:dyDescent="0.25">
      <c r="A112" s="40" t="s">
        <v>196</v>
      </c>
      <c r="B112" s="40" t="s">
        <v>27</v>
      </c>
      <c r="C112" s="40" t="s">
        <v>60</v>
      </c>
      <c r="D112" s="40" t="s">
        <v>333</v>
      </c>
      <c r="E112" s="40" t="s">
        <v>41</v>
      </c>
      <c r="F112" s="40" t="s">
        <v>74</v>
      </c>
      <c r="G112" s="41">
        <v>1</v>
      </c>
      <c r="H112" s="41">
        <v>13800</v>
      </c>
      <c r="I112" s="41">
        <v>0</v>
      </c>
      <c r="J112" s="41">
        <v>0</v>
      </c>
      <c r="K112" s="41">
        <v>14010</v>
      </c>
      <c r="L112" s="41" t="s">
        <v>334</v>
      </c>
      <c r="M112" s="41">
        <v>-210</v>
      </c>
    </row>
    <row r="113" spans="1:13" x14ac:dyDescent="0.25">
      <c r="A113" s="40" t="s">
        <v>196</v>
      </c>
      <c r="B113" s="40" t="s">
        <v>27</v>
      </c>
      <c r="C113" s="40" t="s">
        <v>60</v>
      </c>
      <c r="D113" s="40" t="s">
        <v>335</v>
      </c>
      <c r="E113" s="40" t="s">
        <v>41</v>
      </c>
      <c r="F113" s="40" t="s">
        <v>74</v>
      </c>
      <c r="G113" s="41">
        <v>1</v>
      </c>
      <c r="H113" s="41">
        <v>13500</v>
      </c>
      <c r="I113" s="41">
        <v>0</v>
      </c>
      <c r="J113" s="41">
        <v>0</v>
      </c>
      <c r="K113" s="41">
        <v>14010</v>
      </c>
      <c r="L113" s="41" t="s">
        <v>336</v>
      </c>
      <c r="M113" s="41">
        <v>-510</v>
      </c>
    </row>
    <row r="114" spans="1:13" x14ac:dyDescent="0.25">
      <c r="A114" s="40" t="s">
        <v>196</v>
      </c>
      <c r="B114" s="40" t="s">
        <v>27</v>
      </c>
      <c r="C114" s="40" t="s">
        <v>60</v>
      </c>
      <c r="D114" s="40" t="s">
        <v>337</v>
      </c>
      <c r="E114" s="40" t="s">
        <v>45</v>
      </c>
      <c r="F114" s="40" t="s">
        <v>301</v>
      </c>
      <c r="G114" s="41">
        <v>1</v>
      </c>
      <c r="H114" s="41">
        <v>20000</v>
      </c>
      <c r="I114" s="41">
        <v>0</v>
      </c>
      <c r="J114" s="41">
        <v>0</v>
      </c>
      <c r="K114" s="41">
        <v>19370</v>
      </c>
      <c r="L114" s="41" t="s">
        <v>338</v>
      </c>
      <c r="M114" s="41">
        <v>630</v>
      </c>
    </row>
    <row r="115" spans="1:13" x14ac:dyDescent="0.25">
      <c r="A115" s="40" t="s">
        <v>196</v>
      </c>
      <c r="B115" s="40" t="s">
        <v>27</v>
      </c>
      <c r="C115" s="40" t="s">
        <v>82</v>
      </c>
      <c r="D115" s="40" t="s">
        <v>339</v>
      </c>
      <c r="E115" s="40" t="s">
        <v>109</v>
      </c>
      <c r="F115" s="40" t="s">
        <v>340</v>
      </c>
      <c r="G115" s="41">
        <v>1</v>
      </c>
      <c r="H115" s="41">
        <v>13200</v>
      </c>
      <c r="I115" s="41">
        <v>0</v>
      </c>
      <c r="J115" s="41">
        <v>0</v>
      </c>
      <c r="K115" s="41">
        <v>13539</v>
      </c>
      <c r="L115" s="41" t="s">
        <v>341</v>
      </c>
      <c r="M115" s="41">
        <v>-339</v>
      </c>
    </row>
    <row r="116" spans="1:13" x14ac:dyDescent="0.25">
      <c r="A116" s="40" t="s">
        <v>196</v>
      </c>
      <c r="B116" s="40" t="s">
        <v>27</v>
      </c>
      <c r="C116" s="40" t="s">
        <v>82</v>
      </c>
      <c r="D116" s="40" t="s">
        <v>342</v>
      </c>
      <c r="E116" s="40" t="s">
        <v>30</v>
      </c>
      <c r="F116" s="40" t="s">
        <v>343</v>
      </c>
      <c r="G116" s="41">
        <v>1</v>
      </c>
      <c r="H116" s="41">
        <v>24000</v>
      </c>
      <c r="I116" s="41">
        <v>0</v>
      </c>
      <c r="J116" s="41">
        <v>0</v>
      </c>
      <c r="K116" s="41">
        <v>23090</v>
      </c>
      <c r="L116" s="41" t="s">
        <v>344</v>
      </c>
      <c r="M116" s="41">
        <v>910</v>
      </c>
    </row>
    <row r="117" spans="1:13" x14ac:dyDescent="0.25">
      <c r="A117" s="40" t="s">
        <v>196</v>
      </c>
      <c r="B117" s="40" t="s">
        <v>27</v>
      </c>
      <c r="C117" s="40" t="s">
        <v>82</v>
      </c>
      <c r="D117" s="40" t="s">
        <v>345</v>
      </c>
      <c r="E117" s="40" t="s">
        <v>34</v>
      </c>
      <c r="F117" s="40" t="s">
        <v>346</v>
      </c>
      <c r="G117" s="41">
        <v>1</v>
      </c>
      <c r="H117" s="41">
        <v>24000</v>
      </c>
      <c r="I117" s="41">
        <v>0</v>
      </c>
      <c r="J117" s="41">
        <v>0</v>
      </c>
      <c r="K117" s="41">
        <v>23090</v>
      </c>
      <c r="L117" s="41" t="s">
        <v>347</v>
      </c>
      <c r="M117" s="41">
        <v>910</v>
      </c>
    </row>
    <row r="118" spans="1:13" x14ac:dyDescent="0.25">
      <c r="A118" s="40" t="s">
        <v>196</v>
      </c>
      <c r="B118" s="40" t="s">
        <v>27</v>
      </c>
      <c r="C118" s="40" t="s">
        <v>82</v>
      </c>
      <c r="D118" s="40" t="s">
        <v>348</v>
      </c>
      <c r="E118" s="40" t="s">
        <v>45</v>
      </c>
      <c r="F118" s="40" t="s">
        <v>84</v>
      </c>
      <c r="G118" s="41">
        <v>1</v>
      </c>
      <c r="H118" s="41">
        <v>11800</v>
      </c>
      <c r="I118" s="41">
        <v>0</v>
      </c>
      <c r="J118" s="41">
        <v>0</v>
      </c>
      <c r="K118" s="41">
        <v>12123</v>
      </c>
      <c r="L118" s="41" t="s">
        <v>349</v>
      </c>
      <c r="M118" s="41">
        <v>-323</v>
      </c>
    </row>
    <row r="119" spans="1:13" x14ac:dyDescent="0.25">
      <c r="A119" s="40" t="s">
        <v>350</v>
      </c>
      <c r="B119" s="40" t="s">
        <v>12</v>
      </c>
      <c r="C119" s="40" t="s">
        <v>28</v>
      </c>
      <c r="D119" s="40" t="s">
        <v>351</v>
      </c>
      <c r="E119" s="40" t="s">
        <v>109</v>
      </c>
      <c r="F119" s="40" t="s">
        <v>106</v>
      </c>
      <c r="G119" s="41">
        <v>1</v>
      </c>
      <c r="H119" s="41">
        <v>16500</v>
      </c>
      <c r="I119" s="41">
        <v>0</v>
      </c>
      <c r="J119" s="41">
        <v>0</v>
      </c>
      <c r="K119" s="41">
        <v>16511</v>
      </c>
      <c r="L119" s="41" t="s">
        <v>352</v>
      </c>
      <c r="M119" s="41">
        <v>-11</v>
      </c>
    </row>
    <row r="120" spans="1:13" x14ac:dyDescent="0.25">
      <c r="A120" s="40" t="s">
        <v>350</v>
      </c>
      <c r="B120" s="40" t="s">
        <v>12</v>
      </c>
      <c r="C120" s="40" t="s">
        <v>28</v>
      </c>
      <c r="D120" s="40" t="s">
        <v>353</v>
      </c>
      <c r="E120" s="40" t="s">
        <v>34</v>
      </c>
      <c r="F120" s="40" t="s">
        <v>102</v>
      </c>
      <c r="G120" s="41">
        <v>1</v>
      </c>
      <c r="H120" s="41">
        <v>26000</v>
      </c>
      <c r="I120" s="41">
        <v>0</v>
      </c>
      <c r="J120" s="41">
        <v>0</v>
      </c>
      <c r="K120" s="41">
        <v>25975</v>
      </c>
      <c r="L120" s="41" t="s">
        <v>354</v>
      </c>
      <c r="M120" s="41">
        <v>25</v>
      </c>
    </row>
    <row r="121" spans="1:13" x14ac:dyDescent="0.25">
      <c r="A121" s="40" t="s">
        <v>350</v>
      </c>
      <c r="B121" s="40" t="s">
        <v>12</v>
      </c>
      <c r="C121" s="40" t="s">
        <v>28</v>
      </c>
      <c r="D121" s="40" t="s">
        <v>355</v>
      </c>
      <c r="E121" s="40" t="s">
        <v>41</v>
      </c>
      <c r="F121" s="40" t="s">
        <v>35</v>
      </c>
      <c r="G121" s="41">
        <v>1</v>
      </c>
      <c r="H121" s="41">
        <v>15500</v>
      </c>
      <c r="I121" s="41">
        <v>0</v>
      </c>
      <c r="J121" s="41">
        <v>0</v>
      </c>
      <c r="K121" s="41">
        <v>15540</v>
      </c>
      <c r="L121" s="41" t="s">
        <v>356</v>
      </c>
      <c r="M121" s="41">
        <v>-40</v>
      </c>
    </row>
    <row r="122" spans="1:13" x14ac:dyDescent="0.25">
      <c r="A122" s="40" t="s">
        <v>350</v>
      </c>
      <c r="B122" s="40" t="s">
        <v>12</v>
      </c>
      <c r="C122" s="40" t="s">
        <v>22</v>
      </c>
      <c r="D122" s="40" t="s">
        <v>357</v>
      </c>
      <c r="E122" s="40" t="s">
        <v>30</v>
      </c>
      <c r="F122" s="40" t="s">
        <v>358</v>
      </c>
      <c r="G122" s="41">
        <v>1</v>
      </c>
      <c r="H122" s="41">
        <v>52900</v>
      </c>
      <c r="I122" s="41">
        <v>0</v>
      </c>
      <c r="J122" s="41">
        <v>0</v>
      </c>
      <c r="K122" s="41">
        <v>52026</v>
      </c>
      <c r="L122" s="41" t="s">
        <v>359</v>
      </c>
      <c r="M122" s="41">
        <v>874</v>
      </c>
    </row>
    <row r="123" spans="1:13" x14ac:dyDescent="0.25">
      <c r="A123" s="40" t="s">
        <v>350</v>
      </c>
      <c r="B123" s="40" t="s">
        <v>12</v>
      </c>
      <c r="C123" s="40" t="s">
        <v>360</v>
      </c>
      <c r="D123" s="40" t="s">
        <v>361</v>
      </c>
      <c r="E123" s="40" t="s">
        <v>109</v>
      </c>
      <c r="F123" s="40" t="s">
        <v>362</v>
      </c>
      <c r="G123" s="41">
        <v>1</v>
      </c>
      <c r="H123" s="41">
        <v>34800</v>
      </c>
      <c r="I123" s="41">
        <v>0</v>
      </c>
      <c r="J123" s="41">
        <v>0</v>
      </c>
      <c r="K123" s="41">
        <v>34840</v>
      </c>
      <c r="L123" s="41" t="s">
        <v>363</v>
      </c>
      <c r="M123" s="41">
        <v>-40</v>
      </c>
    </row>
    <row r="124" spans="1:13" x14ac:dyDescent="0.25">
      <c r="A124" s="40" t="s">
        <v>350</v>
      </c>
      <c r="B124" s="40" t="s">
        <v>12</v>
      </c>
      <c r="C124" s="40" t="s">
        <v>360</v>
      </c>
      <c r="D124" s="40" t="s">
        <v>364</v>
      </c>
      <c r="E124" s="40" t="s">
        <v>109</v>
      </c>
      <c r="F124" s="40" t="s">
        <v>365</v>
      </c>
      <c r="G124" s="41">
        <v>1</v>
      </c>
      <c r="H124" s="41">
        <v>56000</v>
      </c>
      <c r="I124" s="41">
        <v>0</v>
      </c>
      <c r="J124" s="41">
        <v>0</v>
      </c>
      <c r="K124" s="41">
        <v>54764</v>
      </c>
      <c r="L124" s="41" t="s">
        <v>366</v>
      </c>
      <c r="M124" s="41">
        <v>1236</v>
      </c>
    </row>
    <row r="125" spans="1:13" x14ac:dyDescent="0.25">
      <c r="A125" s="40" t="s">
        <v>350</v>
      </c>
      <c r="B125" s="40" t="s">
        <v>12</v>
      </c>
      <c r="C125" s="40" t="s">
        <v>50</v>
      </c>
      <c r="D125" s="40" t="s">
        <v>367</v>
      </c>
      <c r="E125" s="40" t="s">
        <v>109</v>
      </c>
      <c r="F125" s="40" t="s">
        <v>368</v>
      </c>
      <c r="G125" s="41">
        <v>1</v>
      </c>
      <c r="H125" s="41">
        <v>40000</v>
      </c>
      <c r="I125" s="41">
        <v>0</v>
      </c>
      <c r="J125" s="41">
        <v>0</v>
      </c>
      <c r="K125" s="41">
        <v>40131</v>
      </c>
      <c r="L125" s="41" t="s">
        <v>369</v>
      </c>
      <c r="M125" s="41">
        <v>-131</v>
      </c>
    </row>
    <row r="126" spans="1:13" x14ac:dyDescent="0.25">
      <c r="A126" s="40" t="s">
        <v>350</v>
      </c>
      <c r="B126" s="40" t="s">
        <v>12</v>
      </c>
      <c r="C126" s="40" t="s">
        <v>114</v>
      </c>
      <c r="D126" s="40" t="s">
        <v>370</v>
      </c>
      <c r="E126" s="40" t="s">
        <v>15</v>
      </c>
      <c r="F126" s="40" t="s">
        <v>173</v>
      </c>
      <c r="G126" s="41">
        <v>1</v>
      </c>
      <c r="H126" s="41">
        <v>21999</v>
      </c>
      <c r="I126" s="41">
        <v>0</v>
      </c>
      <c r="J126" s="41">
        <v>0</v>
      </c>
      <c r="K126" s="41">
        <v>21968</v>
      </c>
      <c r="L126" s="41" t="s">
        <v>371</v>
      </c>
      <c r="M126" s="41">
        <v>31</v>
      </c>
    </row>
    <row r="127" spans="1:13" x14ac:dyDescent="0.25">
      <c r="A127" s="40" t="s">
        <v>350</v>
      </c>
      <c r="B127" s="40" t="s">
        <v>12</v>
      </c>
      <c r="C127" s="40" t="s">
        <v>82</v>
      </c>
      <c r="D127" s="40" t="s">
        <v>372</v>
      </c>
      <c r="E127" s="40" t="s">
        <v>109</v>
      </c>
      <c r="F127" s="40" t="s">
        <v>373</v>
      </c>
      <c r="G127" s="41">
        <v>1</v>
      </c>
      <c r="H127" s="41">
        <v>16200</v>
      </c>
      <c r="I127" s="41">
        <v>0</v>
      </c>
      <c r="J127" s="41">
        <v>0</v>
      </c>
      <c r="K127" s="41">
        <v>16341</v>
      </c>
      <c r="L127" s="41" t="s">
        <v>374</v>
      </c>
      <c r="M127" s="41">
        <v>-141</v>
      </c>
    </row>
    <row r="128" spans="1:13" x14ac:dyDescent="0.25">
      <c r="A128" s="40" t="s">
        <v>350</v>
      </c>
      <c r="B128" s="40" t="s">
        <v>12</v>
      </c>
      <c r="C128" s="40" t="s">
        <v>82</v>
      </c>
      <c r="D128" s="40" t="s">
        <v>375</v>
      </c>
      <c r="E128" s="40" t="s">
        <v>162</v>
      </c>
      <c r="F128" s="40" t="s">
        <v>376</v>
      </c>
      <c r="G128" s="41">
        <v>1</v>
      </c>
      <c r="H128" s="41">
        <v>35000</v>
      </c>
      <c r="I128" s="41">
        <v>0</v>
      </c>
      <c r="J128" s="41">
        <v>0</v>
      </c>
      <c r="K128" s="41">
        <v>34519</v>
      </c>
      <c r="L128" s="41" t="s">
        <v>377</v>
      </c>
      <c r="M128" s="41">
        <v>481</v>
      </c>
    </row>
    <row r="129" spans="1:13" x14ac:dyDescent="0.25">
      <c r="A129" s="40" t="s">
        <v>350</v>
      </c>
      <c r="B129" s="40" t="s">
        <v>12</v>
      </c>
      <c r="C129" s="40" t="s">
        <v>82</v>
      </c>
      <c r="D129" s="40" t="s">
        <v>378</v>
      </c>
      <c r="E129" s="40" t="s">
        <v>162</v>
      </c>
      <c r="F129" s="40" t="s">
        <v>379</v>
      </c>
      <c r="G129" s="41">
        <v>1</v>
      </c>
      <c r="H129" s="41">
        <v>14000</v>
      </c>
      <c r="I129" s="41">
        <v>0</v>
      </c>
      <c r="J129" s="41">
        <v>0</v>
      </c>
      <c r="K129" s="41">
        <v>13539</v>
      </c>
      <c r="L129" s="41" t="s">
        <v>380</v>
      </c>
      <c r="M129" s="41">
        <v>461</v>
      </c>
    </row>
    <row r="130" spans="1:13" x14ac:dyDescent="0.25">
      <c r="A130" s="40" t="s">
        <v>350</v>
      </c>
      <c r="B130" s="40" t="s">
        <v>12</v>
      </c>
      <c r="C130" s="40" t="s">
        <v>82</v>
      </c>
      <c r="D130" s="40" t="s">
        <v>381</v>
      </c>
      <c r="E130" s="40" t="s">
        <v>30</v>
      </c>
      <c r="F130" s="40" t="s">
        <v>382</v>
      </c>
      <c r="G130" s="41">
        <v>1</v>
      </c>
      <c r="H130" s="41">
        <v>42500</v>
      </c>
      <c r="I130" s="41">
        <v>0</v>
      </c>
      <c r="J130" s="41">
        <v>0</v>
      </c>
      <c r="K130" s="41">
        <v>39970</v>
      </c>
      <c r="L130" s="41" t="s">
        <v>383</v>
      </c>
      <c r="M130" s="41">
        <v>2530</v>
      </c>
    </row>
    <row r="131" spans="1:13" x14ac:dyDescent="0.25">
      <c r="A131" s="40" t="s">
        <v>350</v>
      </c>
      <c r="B131" s="40" t="s">
        <v>12</v>
      </c>
      <c r="C131" s="40" t="s">
        <v>82</v>
      </c>
      <c r="D131" s="40" t="s">
        <v>384</v>
      </c>
      <c r="E131" s="40" t="s">
        <v>30</v>
      </c>
      <c r="F131" s="40" t="s">
        <v>385</v>
      </c>
      <c r="G131" s="41">
        <v>1</v>
      </c>
      <c r="H131" s="41">
        <v>13500</v>
      </c>
      <c r="I131" s="41">
        <v>0</v>
      </c>
      <c r="J131" s="41">
        <v>0</v>
      </c>
      <c r="K131" s="41">
        <v>13539</v>
      </c>
      <c r="L131" s="41" t="s">
        <v>386</v>
      </c>
      <c r="M131" s="41">
        <v>-39</v>
      </c>
    </row>
    <row r="132" spans="1:13" x14ac:dyDescent="0.25">
      <c r="A132" s="40" t="s">
        <v>350</v>
      </c>
      <c r="B132" s="40" t="s">
        <v>12</v>
      </c>
      <c r="C132" s="40" t="s">
        <v>82</v>
      </c>
      <c r="D132" s="40" t="s">
        <v>387</v>
      </c>
      <c r="E132" s="40" t="s">
        <v>30</v>
      </c>
      <c r="F132" s="40" t="s">
        <v>385</v>
      </c>
      <c r="G132" s="41">
        <v>1</v>
      </c>
      <c r="H132" s="41">
        <v>13000</v>
      </c>
      <c r="I132" s="41">
        <v>0</v>
      </c>
      <c r="J132" s="41">
        <v>0</v>
      </c>
      <c r="K132" s="41">
        <v>13539</v>
      </c>
      <c r="L132" s="41" t="s">
        <v>388</v>
      </c>
      <c r="M132" s="41">
        <v>-539</v>
      </c>
    </row>
    <row r="133" spans="1:13" x14ac:dyDescent="0.25">
      <c r="A133" s="40" t="s">
        <v>350</v>
      </c>
      <c r="B133" s="40" t="s">
        <v>12</v>
      </c>
      <c r="C133" s="40" t="s">
        <v>82</v>
      </c>
      <c r="D133" s="40" t="s">
        <v>389</v>
      </c>
      <c r="E133" s="40" t="s">
        <v>30</v>
      </c>
      <c r="F133" s="40" t="s">
        <v>390</v>
      </c>
      <c r="G133" s="41">
        <v>1</v>
      </c>
      <c r="H133" s="41">
        <v>17000</v>
      </c>
      <c r="I133" s="41">
        <v>0</v>
      </c>
      <c r="J133" s="41">
        <v>0</v>
      </c>
      <c r="K133" s="41">
        <v>17274</v>
      </c>
      <c r="L133" s="41" t="s">
        <v>391</v>
      </c>
      <c r="M133" s="41">
        <v>-274</v>
      </c>
    </row>
    <row r="134" spans="1:13" x14ac:dyDescent="0.25">
      <c r="A134" s="40" t="s">
        <v>350</v>
      </c>
      <c r="B134" s="40" t="s">
        <v>12</v>
      </c>
      <c r="C134" s="40" t="s">
        <v>82</v>
      </c>
      <c r="D134" s="40" t="s">
        <v>392</v>
      </c>
      <c r="E134" s="40" t="s">
        <v>34</v>
      </c>
      <c r="F134" s="40" t="s">
        <v>373</v>
      </c>
      <c r="G134" s="41">
        <v>1</v>
      </c>
      <c r="H134" s="41">
        <v>16500</v>
      </c>
      <c r="I134" s="41">
        <v>0</v>
      </c>
      <c r="J134" s="41">
        <v>0</v>
      </c>
      <c r="K134" s="41">
        <v>16341</v>
      </c>
      <c r="L134" s="41" t="s">
        <v>393</v>
      </c>
      <c r="M134" s="41">
        <v>159</v>
      </c>
    </row>
    <row r="135" spans="1:13" x14ac:dyDescent="0.25">
      <c r="A135" s="40" t="s">
        <v>350</v>
      </c>
      <c r="B135" s="40" t="s">
        <v>12</v>
      </c>
      <c r="C135" s="40" t="s">
        <v>82</v>
      </c>
      <c r="D135" s="40" t="s">
        <v>394</v>
      </c>
      <c r="E135" s="40" t="s">
        <v>45</v>
      </c>
      <c r="F135" s="40" t="s">
        <v>395</v>
      </c>
      <c r="G135" s="41">
        <v>1</v>
      </c>
      <c r="H135" s="41">
        <v>23000</v>
      </c>
      <c r="I135" s="41">
        <v>0</v>
      </c>
      <c r="J135" s="41">
        <v>0</v>
      </c>
      <c r="K135" s="41">
        <v>23090</v>
      </c>
      <c r="L135" s="41" t="s">
        <v>396</v>
      </c>
      <c r="M135" s="41">
        <v>-90</v>
      </c>
    </row>
    <row r="136" spans="1:13" x14ac:dyDescent="0.25">
      <c r="A136" s="40" t="s">
        <v>397</v>
      </c>
      <c r="B136" s="40" t="s">
        <v>12</v>
      </c>
      <c r="C136" s="40" t="s">
        <v>87</v>
      </c>
      <c r="D136" s="40" t="s">
        <v>398</v>
      </c>
      <c r="E136" s="40" t="s">
        <v>30</v>
      </c>
      <c r="F136" s="40" t="s">
        <v>399</v>
      </c>
      <c r="G136" s="41">
        <v>1</v>
      </c>
      <c r="H136" s="41">
        <v>69900</v>
      </c>
      <c r="I136" s="41">
        <v>0</v>
      </c>
      <c r="J136" s="41">
        <v>0</v>
      </c>
      <c r="K136" s="41">
        <v>67789</v>
      </c>
      <c r="L136" s="41" t="s">
        <v>400</v>
      </c>
      <c r="M136" s="41">
        <v>2111</v>
      </c>
    </row>
    <row r="137" spans="1:13" x14ac:dyDescent="0.25">
      <c r="A137" s="40" t="s">
        <v>397</v>
      </c>
      <c r="B137" s="40" t="s">
        <v>12</v>
      </c>
      <c r="C137" s="40" t="s">
        <v>13</v>
      </c>
      <c r="D137" s="40" t="s">
        <v>401</v>
      </c>
      <c r="E137" s="40" t="s">
        <v>15</v>
      </c>
      <c r="F137" s="40" t="s">
        <v>402</v>
      </c>
      <c r="G137" s="41">
        <v>1</v>
      </c>
      <c r="H137" s="41">
        <v>13400</v>
      </c>
      <c r="I137" s="41">
        <v>0</v>
      </c>
      <c r="J137" s="41">
        <v>0</v>
      </c>
      <c r="K137" s="41">
        <v>13379</v>
      </c>
      <c r="L137" s="41" t="s">
        <v>403</v>
      </c>
      <c r="M137" s="41">
        <v>21</v>
      </c>
    </row>
    <row r="138" spans="1:13" x14ac:dyDescent="0.25">
      <c r="A138" s="40" t="s">
        <v>397</v>
      </c>
      <c r="B138" s="40" t="s">
        <v>12</v>
      </c>
      <c r="C138" s="40" t="s">
        <v>28</v>
      </c>
      <c r="D138" s="40" t="s">
        <v>404</v>
      </c>
      <c r="E138" s="40" t="s">
        <v>15</v>
      </c>
      <c r="F138" s="40" t="s">
        <v>211</v>
      </c>
      <c r="G138" s="41">
        <v>1</v>
      </c>
      <c r="H138" s="41">
        <v>14999</v>
      </c>
      <c r="I138" s="41">
        <v>0</v>
      </c>
      <c r="J138" s="41">
        <v>0</v>
      </c>
      <c r="K138" s="41">
        <v>14568</v>
      </c>
      <c r="L138" s="41" t="s">
        <v>405</v>
      </c>
      <c r="M138" s="41">
        <v>431</v>
      </c>
    </row>
    <row r="139" spans="1:13" x14ac:dyDescent="0.25">
      <c r="A139" s="40" t="s">
        <v>397</v>
      </c>
      <c r="B139" s="40" t="s">
        <v>12</v>
      </c>
      <c r="C139" s="40" t="s">
        <v>28</v>
      </c>
      <c r="D139" s="40" t="s">
        <v>406</v>
      </c>
      <c r="E139" s="40" t="s">
        <v>95</v>
      </c>
      <c r="F139" s="40" t="s">
        <v>48</v>
      </c>
      <c r="G139" s="41">
        <v>1</v>
      </c>
      <c r="H139" s="41">
        <v>29999</v>
      </c>
      <c r="I139" s="41">
        <v>0</v>
      </c>
      <c r="J139" s="41">
        <v>0</v>
      </c>
      <c r="K139" s="41">
        <v>28862</v>
      </c>
      <c r="L139" s="41" t="s">
        <v>407</v>
      </c>
      <c r="M139" s="41">
        <v>1137</v>
      </c>
    </row>
    <row r="140" spans="1:13" x14ac:dyDescent="0.25">
      <c r="A140" s="40" t="s">
        <v>397</v>
      </c>
      <c r="B140" s="40" t="s">
        <v>12</v>
      </c>
      <c r="C140" s="40" t="s">
        <v>28</v>
      </c>
      <c r="D140" s="40" t="s">
        <v>408</v>
      </c>
      <c r="E140" s="40" t="s">
        <v>95</v>
      </c>
      <c r="F140" s="40" t="s">
        <v>243</v>
      </c>
      <c r="G140" s="41">
        <v>1</v>
      </c>
      <c r="H140" s="41">
        <v>17000</v>
      </c>
      <c r="I140" s="41">
        <v>0</v>
      </c>
      <c r="J140" s="41">
        <v>0</v>
      </c>
      <c r="K140" s="41">
        <v>16511</v>
      </c>
      <c r="L140" s="41" t="s">
        <v>409</v>
      </c>
      <c r="M140" s="41">
        <v>489</v>
      </c>
    </row>
    <row r="141" spans="1:13" x14ac:dyDescent="0.25">
      <c r="A141" s="40" t="s">
        <v>397</v>
      </c>
      <c r="B141" s="40" t="s">
        <v>12</v>
      </c>
      <c r="C141" s="40" t="s">
        <v>28</v>
      </c>
      <c r="D141" s="40" t="s">
        <v>410</v>
      </c>
      <c r="E141" s="40" t="s">
        <v>95</v>
      </c>
      <c r="F141" s="40" t="s">
        <v>48</v>
      </c>
      <c r="G141" s="41">
        <v>1</v>
      </c>
      <c r="H141" s="41">
        <v>29999</v>
      </c>
      <c r="I141" s="41">
        <v>0</v>
      </c>
      <c r="J141" s="41">
        <v>0</v>
      </c>
      <c r="K141" s="41">
        <v>28862</v>
      </c>
      <c r="L141" s="41" t="s">
        <v>411</v>
      </c>
      <c r="M141" s="41">
        <v>1137</v>
      </c>
    </row>
    <row r="142" spans="1:13" x14ac:dyDescent="0.25">
      <c r="A142" s="40" t="s">
        <v>397</v>
      </c>
      <c r="B142" s="40" t="s">
        <v>12</v>
      </c>
      <c r="C142" s="40" t="s">
        <v>28</v>
      </c>
      <c r="D142" s="40" t="s">
        <v>412</v>
      </c>
      <c r="E142" s="40" t="s">
        <v>95</v>
      </c>
      <c r="F142" s="40" t="s">
        <v>413</v>
      </c>
      <c r="G142" s="41">
        <v>1</v>
      </c>
      <c r="H142" s="41">
        <v>12800</v>
      </c>
      <c r="I142" s="41">
        <v>0</v>
      </c>
      <c r="J142" s="41">
        <v>0</v>
      </c>
      <c r="K142" s="41">
        <v>12626</v>
      </c>
      <c r="L142" s="41" t="s">
        <v>414</v>
      </c>
      <c r="M142" s="41">
        <v>174</v>
      </c>
    </row>
    <row r="143" spans="1:13" x14ac:dyDescent="0.25">
      <c r="A143" s="40" t="s">
        <v>397</v>
      </c>
      <c r="B143" s="40" t="s">
        <v>12</v>
      </c>
      <c r="C143" s="40" t="s">
        <v>28</v>
      </c>
      <c r="D143" s="40" t="s">
        <v>415</v>
      </c>
      <c r="E143" s="40" t="s">
        <v>95</v>
      </c>
      <c r="F143" s="40" t="s">
        <v>222</v>
      </c>
      <c r="G143" s="41">
        <v>1</v>
      </c>
      <c r="H143" s="41">
        <v>15000</v>
      </c>
      <c r="I143" s="41">
        <v>0</v>
      </c>
      <c r="J143" s="41">
        <v>0</v>
      </c>
      <c r="K143" s="41">
        <v>14568</v>
      </c>
      <c r="L143" s="41" t="s">
        <v>416</v>
      </c>
      <c r="M143" s="41">
        <v>432</v>
      </c>
    </row>
    <row r="144" spans="1:13" x14ac:dyDescent="0.25">
      <c r="A144" s="40" t="s">
        <v>397</v>
      </c>
      <c r="B144" s="40" t="s">
        <v>12</v>
      </c>
      <c r="C144" s="40" t="s">
        <v>28</v>
      </c>
      <c r="D144" s="40" t="s">
        <v>417</v>
      </c>
      <c r="E144" s="40" t="s">
        <v>135</v>
      </c>
      <c r="F144" s="40" t="s">
        <v>48</v>
      </c>
      <c r="G144" s="41">
        <v>1</v>
      </c>
      <c r="H144" s="41">
        <v>29500</v>
      </c>
      <c r="I144" s="41">
        <v>0</v>
      </c>
      <c r="J144" s="41">
        <v>0</v>
      </c>
      <c r="K144" s="41">
        <v>28862</v>
      </c>
      <c r="L144" s="41" t="s">
        <v>418</v>
      </c>
      <c r="M144" s="41">
        <v>638</v>
      </c>
    </row>
    <row r="145" spans="1:13" x14ac:dyDescent="0.25">
      <c r="A145" s="40" t="s">
        <v>397</v>
      </c>
      <c r="B145" s="40" t="s">
        <v>12</v>
      </c>
      <c r="C145" s="40" t="s">
        <v>28</v>
      </c>
      <c r="D145" s="40" t="s">
        <v>419</v>
      </c>
      <c r="E145" s="40" t="s">
        <v>135</v>
      </c>
      <c r="F145" s="40" t="s">
        <v>48</v>
      </c>
      <c r="G145" s="41">
        <v>1</v>
      </c>
      <c r="H145" s="41">
        <v>29500</v>
      </c>
      <c r="I145" s="41">
        <v>0</v>
      </c>
      <c r="J145" s="41">
        <v>0</v>
      </c>
      <c r="K145" s="41">
        <v>28862</v>
      </c>
      <c r="L145" s="41" t="s">
        <v>420</v>
      </c>
      <c r="M145" s="41">
        <v>638</v>
      </c>
    </row>
    <row r="146" spans="1:13" x14ac:dyDescent="0.25">
      <c r="A146" s="40" t="s">
        <v>397</v>
      </c>
      <c r="B146" s="40" t="s">
        <v>12</v>
      </c>
      <c r="C146" s="40" t="s">
        <v>28</v>
      </c>
      <c r="D146" s="40" t="s">
        <v>421</v>
      </c>
      <c r="E146" s="40" t="s">
        <v>105</v>
      </c>
      <c r="F146" s="40" t="s">
        <v>106</v>
      </c>
      <c r="G146" s="41">
        <v>1</v>
      </c>
      <c r="H146" s="41">
        <v>16999</v>
      </c>
      <c r="I146" s="41">
        <v>0</v>
      </c>
      <c r="J146" s="41">
        <v>0</v>
      </c>
      <c r="K146" s="41">
        <v>16511</v>
      </c>
      <c r="L146" s="41" t="s">
        <v>422</v>
      </c>
      <c r="M146" s="41">
        <v>488</v>
      </c>
    </row>
    <row r="147" spans="1:13" x14ac:dyDescent="0.25">
      <c r="A147" s="40" t="s">
        <v>397</v>
      </c>
      <c r="B147" s="40" t="s">
        <v>12</v>
      </c>
      <c r="C147" s="40" t="s">
        <v>28</v>
      </c>
      <c r="D147" s="40" t="s">
        <v>423</v>
      </c>
      <c r="E147" s="40" t="s">
        <v>105</v>
      </c>
      <c r="F147" s="40" t="s">
        <v>222</v>
      </c>
      <c r="G147" s="41">
        <v>1</v>
      </c>
      <c r="H147" s="41">
        <v>14700</v>
      </c>
      <c r="I147" s="41">
        <v>0</v>
      </c>
      <c r="J147" s="41">
        <v>0</v>
      </c>
      <c r="K147" s="41">
        <v>14568</v>
      </c>
      <c r="L147" s="41" t="s">
        <v>424</v>
      </c>
      <c r="M147" s="41">
        <v>132</v>
      </c>
    </row>
    <row r="148" spans="1:13" x14ac:dyDescent="0.25">
      <c r="A148" s="40" t="s">
        <v>397</v>
      </c>
      <c r="B148" s="40" t="s">
        <v>12</v>
      </c>
      <c r="C148" s="40" t="s">
        <v>28</v>
      </c>
      <c r="D148" s="40" t="s">
        <v>425</v>
      </c>
      <c r="E148" s="40" t="s">
        <v>105</v>
      </c>
      <c r="F148" s="40" t="s">
        <v>38</v>
      </c>
      <c r="G148" s="41">
        <v>1</v>
      </c>
      <c r="H148" s="41">
        <v>11999</v>
      </c>
      <c r="I148" s="41">
        <v>0</v>
      </c>
      <c r="J148" s="41">
        <v>0</v>
      </c>
      <c r="K148" s="41">
        <v>11654</v>
      </c>
      <c r="L148" s="41" t="s">
        <v>426</v>
      </c>
      <c r="M148" s="41">
        <v>345</v>
      </c>
    </row>
    <row r="149" spans="1:13" x14ac:dyDescent="0.25">
      <c r="A149" s="40" t="s">
        <v>397</v>
      </c>
      <c r="B149" s="40" t="s">
        <v>12</v>
      </c>
      <c r="C149" s="40" t="s">
        <v>28</v>
      </c>
      <c r="D149" s="40" t="s">
        <v>427</v>
      </c>
      <c r="E149" s="40" t="s">
        <v>105</v>
      </c>
      <c r="F149" s="40" t="s">
        <v>42</v>
      </c>
      <c r="G149" s="41">
        <v>1</v>
      </c>
      <c r="H149" s="41">
        <v>17999</v>
      </c>
      <c r="I149" s="41">
        <v>0</v>
      </c>
      <c r="J149" s="41">
        <v>0</v>
      </c>
      <c r="K149" s="41">
        <v>17482</v>
      </c>
      <c r="L149" s="41" t="s">
        <v>428</v>
      </c>
      <c r="M149" s="41">
        <v>517</v>
      </c>
    </row>
    <row r="150" spans="1:13" x14ac:dyDescent="0.25">
      <c r="A150" s="40" t="s">
        <v>397</v>
      </c>
      <c r="B150" s="40" t="s">
        <v>12</v>
      </c>
      <c r="C150" s="40" t="s">
        <v>28</v>
      </c>
      <c r="D150" s="40" t="s">
        <v>429</v>
      </c>
      <c r="E150" s="40" t="s">
        <v>105</v>
      </c>
      <c r="F150" s="40" t="s">
        <v>430</v>
      </c>
      <c r="G150" s="41">
        <v>1</v>
      </c>
      <c r="H150" s="41">
        <v>18500</v>
      </c>
      <c r="I150" s="41">
        <v>0</v>
      </c>
      <c r="J150" s="41">
        <v>0</v>
      </c>
      <c r="K150" s="41">
        <v>18454</v>
      </c>
      <c r="L150" s="41" t="s">
        <v>431</v>
      </c>
      <c r="M150" s="41">
        <v>46</v>
      </c>
    </row>
    <row r="151" spans="1:13" x14ac:dyDescent="0.25">
      <c r="A151" s="40" t="s">
        <v>397</v>
      </c>
      <c r="B151" s="40" t="s">
        <v>12</v>
      </c>
      <c r="C151" s="40" t="s">
        <v>28</v>
      </c>
      <c r="D151" s="40" t="s">
        <v>432</v>
      </c>
      <c r="E151" s="40" t="s">
        <v>105</v>
      </c>
      <c r="F151" s="40" t="s">
        <v>433</v>
      </c>
      <c r="G151" s="41">
        <v>1</v>
      </c>
      <c r="H151" s="41">
        <v>20500</v>
      </c>
      <c r="I151" s="41">
        <v>0</v>
      </c>
      <c r="J151" s="41">
        <v>0</v>
      </c>
      <c r="K151" s="41">
        <v>20203</v>
      </c>
      <c r="L151" s="41" t="s">
        <v>434</v>
      </c>
      <c r="M151" s="41">
        <v>297</v>
      </c>
    </row>
    <row r="152" spans="1:13" x14ac:dyDescent="0.25">
      <c r="A152" s="40" t="s">
        <v>397</v>
      </c>
      <c r="B152" s="40" t="s">
        <v>12</v>
      </c>
      <c r="C152" s="40" t="s">
        <v>28</v>
      </c>
      <c r="D152" s="40" t="s">
        <v>435</v>
      </c>
      <c r="E152" s="40" t="s">
        <v>30</v>
      </c>
      <c r="F152" s="40" t="s">
        <v>35</v>
      </c>
      <c r="G152" s="41">
        <v>1</v>
      </c>
      <c r="H152" s="41">
        <v>15500</v>
      </c>
      <c r="I152" s="41">
        <v>0</v>
      </c>
      <c r="J152" s="41">
        <v>0</v>
      </c>
      <c r="K152" s="41">
        <v>15540</v>
      </c>
      <c r="L152" s="41" t="s">
        <v>436</v>
      </c>
      <c r="M152" s="41">
        <v>-40</v>
      </c>
    </row>
    <row r="153" spans="1:13" x14ac:dyDescent="0.25">
      <c r="A153" s="40" t="s">
        <v>397</v>
      </c>
      <c r="B153" s="40" t="s">
        <v>12</v>
      </c>
      <c r="C153" s="40" t="s">
        <v>28</v>
      </c>
      <c r="D153" s="40" t="s">
        <v>437</v>
      </c>
      <c r="E153" s="40" t="s">
        <v>30</v>
      </c>
      <c r="F153" s="40" t="s">
        <v>234</v>
      </c>
      <c r="G153" s="41">
        <v>1</v>
      </c>
      <c r="H153" s="41">
        <v>32999</v>
      </c>
      <c r="I153" s="41">
        <v>0</v>
      </c>
      <c r="J153" s="41">
        <v>0</v>
      </c>
      <c r="K153" s="41">
        <v>31748</v>
      </c>
      <c r="L153" s="41" t="s">
        <v>438</v>
      </c>
      <c r="M153" s="41">
        <v>1251</v>
      </c>
    </row>
    <row r="154" spans="1:13" x14ac:dyDescent="0.25">
      <c r="A154" s="40" t="s">
        <v>397</v>
      </c>
      <c r="B154" s="40" t="s">
        <v>12</v>
      </c>
      <c r="C154" s="40" t="s">
        <v>28</v>
      </c>
      <c r="D154" s="40" t="s">
        <v>439</v>
      </c>
      <c r="E154" s="40" t="s">
        <v>30</v>
      </c>
      <c r="F154" s="40" t="s">
        <v>229</v>
      </c>
      <c r="G154" s="41">
        <v>1</v>
      </c>
      <c r="H154" s="41">
        <v>22001</v>
      </c>
      <c r="I154" s="41">
        <v>0</v>
      </c>
      <c r="J154" s="41">
        <v>0</v>
      </c>
      <c r="K154" s="41">
        <v>22127</v>
      </c>
      <c r="L154" s="41" t="s">
        <v>440</v>
      </c>
      <c r="M154" s="41">
        <v>-126</v>
      </c>
    </row>
    <row r="155" spans="1:13" x14ac:dyDescent="0.25">
      <c r="A155" s="40" t="s">
        <v>397</v>
      </c>
      <c r="B155" s="40" t="s">
        <v>12</v>
      </c>
      <c r="C155" s="40" t="s">
        <v>28</v>
      </c>
      <c r="D155" s="40" t="s">
        <v>441</v>
      </c>
      <c r="E155" s="40" t="s">
        <v>30</v>
      </c>
      <c r="F155" s="40" t="s">
        <v>102</v>
      </c>
      <c r="G155" s="41">
        <v>1</v>
      </c>
      <c r="H155" s="41">
        <v>26000</v>
      </c>
      <c r="I155" s="41">
        <v>0</v>
      </c>
      <c r="J155" s="41">
        <v>0</v>
      </c>
      <c r="K155" s="41">
        <v>25975</v>
      </c>
      <c r="L155" s="41" t="s">
        <v>442</v>
      </c>
      <c r="M155" s="41">
        <v>25</v>
      </c>
    </row>
    <row r="156" spans="1:13" x14ac:dyDescent="0.25">
      <c r="A156" s="40" t="s">
        <v>397</v>
      </c>
      <c r="B156" s="40" t="s">
        <v>12</v>
      </c>
      <c r="C156" s="40" t="s">
        <v>28</v>
      </c>
      <c r="D156" s="40" t="s">
        <v>443</v>
      </c>
      <c r="E156" s="40" t="s">
        <v>34</v>
      </c>
      <c r="F156" s="40" t="s">
        <v>444</v>
      </c>
      <c r="G156" s="41">
        <v>1</v>
      </c>
      <c r="H156" s="41">
        <v>32000</v>
      </c>
      <c r="I156" s="41">
        <v>0</v>
      </c>
      <c r="J156" s="41">
        <v>0</v>
      </c>
      <c r="K156" s="41">
        <v>31748</v>
      </c>
      <c r="L156" s="41" t="s">
        <v>445</v>
      </c>
      <c r="M156" s="41">
        <v>252</v>
      </c>
    </row>
    <row r="157" spans="1:13" x14ac:dyDescent="0.25">
      <c r="A157" s="40" t="s">
        <v>397</v>
      </c>
      <c r="B157" s="40" t="s">
        <v>12</v>
      </c>
      <c r="C157" s="40" t="s">
        <v>28</v>
      </c>
      <c r="D157" s="40" t="s">
        <v>446</v>
      </c>
      <c r="E157" s="40" t="s">
        <v>34</v>
      </c>
      <c r="F157" s="40" t="s">
        <v>102</v>
      </c>
      <c r="G157" s="41">
        <v>1</v>
      </c>
      <c r="H157" s="41">
        <v>26000</v>
      </c>
      <c r="I157" s="41">
        <v>0</v>
      </c>
      <c r="J157" s="41">
        <v>0</v>
      </c>
      <c r="K157" s="41">
        <v>25975</v>
      </c>
      <c r="L157" s="41" t="s">
        <v>447</v>
      </c>
      <c r="M157" s="41">
        <v>25</v>
      </c>
    </row>
    <row r="158" spans="1:13" x14ac:dyDescent="0.25">
      <c r="A158" s="40" t="s">
        <v>397</v>
      </c>
      <c r="B158" s="40" t="s">
        <v>12</v>
      </c>
      <c r="C158" s="40" t="s">
        <v>28</v>
      </c>
      <c r="D158" s="40" t="s">
        <v>448</v>
      </c>
      <c r="E158" s="40" t="s">
        <v>41</v>
      </c>
      <c r="F158" s="40" t="s">
        <v>449</v>
      </c>
      <c r="G158" s="41">
        <v>1</v>
      </c>
      <c r="H158" s="41">
        <v>9700</v>
      </c>
      <c r="I158" s="41">
        <v>0</v>
      </c>
      <c r="J158" s="41">
        <v>0</v>
      </c>
      <c r="K158" s="41">
        <v>9712</v>
      </c>
      <c r="L158" s="41" t="s">
        <v>450</v>
      </c>
      <c r="M158" s="41">
        <v>-12</v>
      </c>
    </row>
    <row r="159" spans="1:13" x14ac:dyDescent="0.25">
      <c r="A159" s="40" t="s">
        <v>397</v>
      </c>
      <c r="B159" s="40" t="s">
        <v>12</v>
      </c>
      <c r="C159" s="40" t="s">
        <v>28</v>
      </c>
      <c r="D159" s="40" t="s">
        <v>451</v>
      </c>
      <c r="E159" s="40" t="s">
        <v>41</v>
      </c>
      <c r="F159" s="40" t="s">
        <v>452</v>
      </c>
      <c r="G159" s="41">
        <v>1</v>
      </c>
      <c r="H159" s="41">
        <v>26500</v>
      </c>
      <c r="I159" s="41">
        <v>0</v>
      </c>
      <c r="J159" s="41">
        <v>0</v>
      </c>
      <c r="K159" s="41">
        <v>25975</v>
      </c>
      <c r="L159" s="41" t="s">
        <v>453</v>
      </c>
      <c r="M159" s="41">
        <v>525</v>
      </c>
    </row>
    <row r="160" spans="1:13" x14ac:dyDescent="0.25">
      <c r="A160" s="40" t="s">
        <v>397</v>
      </c>
      <c r="B160" s="40" t="s">
        <v>12</v>
      </c>
      <c r="C160" s="40" t="s">
        <v>28</v>
      </c>
      <c r="D160" s="40" t="s">
        <v>454</v>
      </c>
      <c r="E160" s="40" t="s">
        <v>45</v>
      </c>
      <c r="F160" s="40" t="s">
        <v>38</v>
      </c>
      <c r="G160" s="41">
        <v>1</v>
      </c>
      <c r="H160" s="41">
        <v>12500</v>
      </c>
      <c r="I160" s="41">
        <v>0</v>
      </c>
      <c r="J160" s="41">
        <v>0</v>
      </c>
      <c r="K160" s="41">
        <v>12140</v>
      </c>
      <c r="L160" s="41" t="s">
        <v>455</v>
      </c>
      <c r="M160" s="41">
        <v>360</v>
      </c>
    </row>
    <row r="161" spans="1:13" x14ac:dyDescent="0.25">
      <c r="A161" s="40" t="s">
        <v>397</v>
      </c>
      <c r="B161" s="40" t="s">
        <v>12</v>
      </c>
      <c r="C161" s="40" t="s">
        <v>28</v>
      </c>
      <c r="D161" s="40" t="s">
        <v>456</v>
      </c>
      <c r="E161" s="40" t="s">
        <v>45</v>
      </c>
      <c r="F161" s="40" t="s">
        <v>31</v>
      </c>
      <c r="G161" s="41">
        <v>1</v>
      </c>
      <c r="H161" s="41">
        <v>12499</v>
      </c>
      <c r="I161" s="41">
        <v>0</v>
      </c>
      <c r="J161" s="41">
        <v>0</v>
      </c>
      <c r="K161" s="41">
        <v>12140</v>
      </c>
      <c r="L161" s="41" t="s">
        <v>457</v>
      </c>
      <c r="M161" s="41">
        <v>359</v>
      </c>
    </row>
    <row r="162" spans="1:13" x14ac:dyDescent="0.25">
      <c r="A162" s="40" t="s">
        <v>397</v>
      </c>
      <c r="B162" s="40" t="s">
        <v>12</v>
      </c>
      <c r="C162" s="40" t="s">
        <v>22</v>
      </c>
      <c r="D162" s="40" t="s">
        <v>458</v>
      </c>
      <c r="E162" s="40" t="s">
        <v>95</v>
      </c>
      <c r="F162" s="40" t="s">
        <v>25</v>
      </c>
      <c r="G162" s="41">
        <v>1</v>
      </c>
      <c r="H162" s="41">
        <v>33999</v>
      </c>
      <c r="I162" s="41">
        <v>0</v>
      </c>
      <c r="J162" s="41">
        <v>0</v>
      </c>
      <c r="K162" s="41">
        <v>33129</v>
      </c>
      <c r="L162" s="41" t="s">
        <v>459</v>
      </c>
      <c r="M162" s="41">
        <v>870</v>
      </c>
    </row>
    <row r="163" spans="1:13" x14ac:dyDescent="0.25">
      <c r="A163" s="40" t="s">
        <v>397</v>
      </c>
      <c r="B163" s="40" t="s">
        <v>12</v>
      </c>
      <c r="C163" s="40" t="s">
        <v>22</v>
      </c>
      <c r="D163" s="40" t="s">
        <v>460</v>
      </c>
      <c r="E163" s="40" t="s">
        <v>135</v>
      </c>
      <c r="F163" s="40" t="s">
        <v>25</v>
      </c>
      <c r="G163" s="41">
        <v>1</v>
      </c>
      <c r="H163" s="41">
        <v>33999</v>
      </c>
      <c r="I163" s="41">
        <v>0</v>
      </c>
      <c r="J163" s="41">
        <v>0</v>
      </c>
      <c r="K163" s="41">
        <v>33129</v>
      </c>
      <c r="L163" s="41" t="s">
        <v>461</v>
      </c>
      <c r="M163" s="41">
        <v>870</v>
      </c>
    </row>
    <row r="164" spans="1:13" x14ac:dyDescent="0.25">
      <c r="A164" s="40" t="s">
        <v>397</v>
      </c>
      <c r="B164" s="40" t="s">
        <v>12</v>
      </c>
      <c r="C164" s="40" t="s">
        <v>360</v>
      </c>
      <c r="D164" s="40" t="s">
        <v>462</v>
      </c>
      <c r="E164" s="40" t="s">
        <v>30</v>
      </c>
      <c r="F164" s="40" t="s">
        <v>463</v>
      </c>
      <c r="G164" s="41">
        <v>1</v>
      </c>
      <c r="H164" s="41">
        <v>21500</v>
      </c>
      <c r="I164" s="41">
        <v>0</v>
      </c>
      <c r="J164" s="41">
        <v>0</v>
      </c>
      <c r="K164" s="41">
        <v>21954</v>
      </c>
      <c r="L164" s="41" t="s">
        <v>464</v>
      </c>
      <c r="M164" s="41">
        <v>-454</v>
      </c>
    </row>
    <row r="165" spans="1:13" x14ac:dyDescent="0.25">
      <c r="A165" s="40" t="s">
        <v>397</v>
      </c>
      <c r="B165" s="40" t="s">
        <v>12</v>
      </c>
      <c r="C165" s="40" t="s">
        <v>114</v>
      </c>
      <c r="D165" s="40" t="s">
        <v>465</v>
      </c>
      <c r="E165" s="40" t="s">
        <v>162</v>
      </c>
      <c r="F165" s="40" t="s">
        <v>466</v>
      </c>
      <c r="G165" s="41">
        <v>1</v>
      </c>
      <c r="H165" s="41">
        <v>16700</v>
      </c>
      <c r="I165" s="41">
        <v>0</v>
      </c>
      <c r="J165" s="41">
        <v>0</v>
      </c>
      <c r="K165" s="41">
        <v>15000</v>
      </c>
      <c r="L165" s="41" t="s">
        <v>467</v>
      </c>
      <c r="M165" s="41">
        <v>1700</v>
      </c>
    </row>
    <row r="166" spans="1:13" x14ac:dyDescent="0.25">
      <c r="A166" s="40" t="s">
        <v>397</v>
      </c>
      <c r="B166" s="40" t="s">
        <v>12</v>
      </c>
      <c r="C166" s="40" t="s">
        <v>114</v>
      </c>
      <c r="D166" s="40" t="s">
        <v>468</v>
      </c>
      <c r="E166" s="40" t="s">
        <v>34</v>
      </c>
      <c r="F166" s="40" t="s">
        <v>469</v>
      </c>
      <c r="G166" s="41">
        <v>1</v>
      </c>
      <c r="H166" s="41">
        <v>9000</v>
      </c>
      <c r="I166" s="41">
        <v>0</v>
      </c>
      <c r="J166" s="41">
        <v>0</v>
      </c>
      <c r="K166" s="41">
        <v>8916</v>
      </c>
      <c r="L166" s="41" t="s">
        <v>470</v>
      </c>
      <c r="M166" s="41">
        <v>84</v>
      </c>
    </row>
    <row r="167" spans="1:13" x14ac:dyDescent="0.25">
      <c r="A167" s="40" t="s">
        <v>397</v>
      </c>
      <c r="B167" s="40" t="s">
        <v>12</v>
      </c>
      <c r="C167" s="40" t="s">
        <v>56</v>
      </c>
      <c r="D167" s="40" t="s">
        <v>471</v>
      </c>
      <c r="E167" s="40" t="s">
        <v>24</v>
      </c>
      <c r="F167" s="40" t="s">
        <v>472</v>
      </c>
      <c r="G167" s="41">
        <v>0</v>
      </c>
      <c r="H167" s="41">
        <v>0</v>
      </c>
      <c r="I167" s="41">
        <v>1</v>
      </c>
      <c r="J167" s="41">
        <v>8500</v>
      </c>
      <c r="K167" s="41">
        <v>8570</v>
      </c>
      <c r="L167" s="41" t="s">
        <v>473</v>
      </c>
      <c r="M167" s="41">
        <v>70</v>
      </c>
    </row>
    <row r="168" spans="1:13" x14ac:dyDescent="0.25">
      <c r="A168" s="40" t="s">
        <v>397</v>
      </c>
      <c r="B168" s="40" t="s">
        <v>12</v>
      </c>
      <c r="C168" s="40" t="s">
        <v>56</v>
      </c>
      <c r="D168" s="40" t="s">
        <v>474</v>
      </c>
      <c r="E168" s="40" t="s">
        <v>105</v>
      </c>
      <c r="F168" s="40" t="s">
        <v>475</v>
      </c>
      <c r="G168" s="41">
        <v>1</v>
      </c>
      <c r="H168" s="41">
        <v>11900</v>
      </c>
      <c r="I168" s="41">
        <v>0</v>
      </c>
      <c r="J168" s="41">
        <v>0</v>
      </c>
      <c r="K168" s="41">
        <v>11418</v>
      </c>
      <c r="L168" s="41" t="s">
        <v>476</v>
      </c>
      <c r="M168" s="41">
        <v>482</v>
      </c>
    </row>
    <row r="169" spans="1:13" x14ac:dyDescent="0.25">
      <c r="A169" s="40" t="s">
        <v>397</v>
      </c>
      <c r="B169" s="40" t="s">
        <v>12</v>
      </c>
      <c r="C169" s="40" t="s">
        <v>60</v>
      </c>
      <c r="D169" s="40" t="s">
        <v>477</v>
      </c>
      <c r="E169" s="40" t="s">
        <v>41</v>
      </c>
      <c r="F169" s="40" t="s">
        <v>304</v>
      </c>
      <c r="G169" s="41">
        <v>1</v>
      </c>
      <c r="H169" s="41">
        <v>14000</v>
      </c>
      <c r="I169" s="41">
        <v>0</v>
      </c>
      <c r="J169" s="41">
        <v>0</v>
      </c>
      <c r="K169" s="41">
        <v>14010</v>
      </c>
      <c r="L169" s="41" t="s">
        <v>478</v>
      </c>
      <c r="M169" s="41">
        <v>-10</v>
      </c>
    </row>
    <row r="170" spans="1:13" x14ac:dyDescent="0.25">
      <c r="A170" s="40" t="s">
        <v>397</v>
      </c>
      <c r="B170" s="40" t="s">
        <v>12</v>
      </c>
      <c r="C170" s="40" t="s">
        <v>82</v>
      </c>
      <c r="D170" s="40" t="s">
        <v>479</v>
      </c>
      <c r="E170" s="40" t="s">
        <v>45</v>
      </c>
      <c r="F170" s="40" t="s">
        <v>480</v>
      </c>
      <c r="G170" s="41">
        <v>1</v>
      </c>
      <c r="H170" s="41">
        <v>26250</v>
      </c>
      <c r="I170" s="41">
        <v>0</v>
      </c>
      <c r="J170" s="41">
        <v>0</v>
      </c>
      <c r="K170" s="41">
        <v>26049</v>
      </c>
      <c r="L170" s="41" t="s">
        <v>481</v>
      </c>
      <c r="M170" s="41">
        <v>201</v>
      </c>
    </row>
    <row r="171" spans="1:13" x14ac:dyDescent="0.25">
      <c r="A171" s="40" t="s">
        <v>482</v>
      </c>
      <c r="B171" s="40" t="s">
        <v>12</v>
      </c>
      <c r="C171" s="40" t="s">
        <v>87</v>
      </c>
      <c r="D171" s="40" t="s">
        <v>483</v>
      </c>
      <c r="E171" s="40" t="s">
        <v>15</v>
      </c>
      <c r="F171" s="40" t="s">
        <v>484</v>
      </c>
      <c r="G171" s="41">
        <v>1</v>
      </c>
      <c r="H171" s="41">
        <v>82900</v>
      </c>
      <c r="I171" s="41">
        <v>0</v>
      </c>
      <c r="J171" s="41">
        <v>0</v>
      </c>
      <c r="K171" s="41">
        <v>80397</v>
      </c>
      <c r="L171" s="41" t="s">
        <v>485</v>
      </c>
      <c r="M171" s="41">
        <v>2503</v>
      </c>
    </row>
    <row r="172" spans="1:13" x14ac:dyDescent="0.25">
      <c r="A172" s="40" t="s">
        <v>482</v>
      </c>
      <c r="B172" s="40" t="s">
        <v>12</v>
      </c>
      <c r="C172" s="40" t="s">
        <v>87</v>
      </c>
      <c r="D172" s="40" t="s">
        <v>486</v>
      </c>
      <c r="E172" s="40" t="s">
        <v>34</v>
      </c>
      <c r="F172" s="40" t="s">
        <v>201</v>
      </c>
      <c r="G172" s="41">
        <v>1</v>
      </c>
      <c r="H172" s="41">
        <v>82900</v>
      </c>
      <c r="I172" s="41">
        <v>0</v>
      </c>
      <c r="J172" s="41">
        <v>0</v>
      </c>
      <c r="K172" s="41">
        <v>80397</v>
      </c>
      <c r="L172" s="41" t="s">
        <v>487</v>
      </c>
      <c r="M172" s="41">
        <v>2503</v>
      </c>
    </row>
    <row r="173" spans="1:13" x14ac:dyDescent="0.25">
      <c r="A173" s="40" t="s">
        <v>482</v>
      </c>
      <c r="B173" s="40" t="s">
        <v>12</v>
      </c>
      <c r="C173" s="40" t="s">
        <v>28</v>
      </c>
      <c r="D173" s="40" t="s">
        <v>488</v>
      </c>
      <c r="E173" s="40" t="s">
        <v>15</v>
      </c>
      <c r="F173" s="40" t="s">
        <v>211</v>
      </c>
      <c r="G173" s="41">
        <v>1</v>
      </c>
      <c r="H173" s="41">
        <v>14300</v>
      </c>
      <c r="I173" s="41">
        <v>0</v>
      </c>
      <c r="J173" s="41">
        <v>0</v>
      </c>
      <c r="K173" s="41">
        <v>14568</v>
      </c>
      <c r="L173" s="41" t="s">
        <v>489</v>
      </c>
      <c r="M173" s="41">
        <v>-268</v>
      </c>
    </row>
    <row r="174" spans="1:13" x14ac:dyDescent="0.25">
      <c r="A174" s="40" t="s">
        <v>482</v>
      </c>
      <c r="B174" s="40" t="s">
        <v>12</v>
      </c>
      <c r="C174" s="40" t="s">
        <v>28</v>
      </c>
      <c r="D174" s="40" t="s">
        <v>490</v>
      </c>
      <c r="E174" s="40" t="s">
        <v>15</v>
      </c>
      <c r="F174" s="40" t="s">
        <v>211</v>
      </c>
      <c r="G174" s="41">
        <v>1</v>
      </c>
      <c r="H174" s="41">
        <v>14300</v>
      </c>
      <c r="I174" s="41">
        <v>0</v>
      </c>
      <c r="J174" s="41">
        <v>0</v>
      </c>
      <c r="K174" s="41">
        <v>14568</v>
      </c>
      <c r="L174" s="41" t="s">
        <v>491</v>
      </c>
      <c r="M174" s="41">
        <v>-268</v>
      </c>
    </row>
    <row r="175" spans="1:13" x14ac:dyDescent="0.25">
      <c r="A175" s="40" t="s">
        <v>482</v>
      </c>
      <c r="B175" s="40" t="s">
        <v>12</v>
      </c>
      <c r="C175" s="40" t="s">
        <v>28</v>
      </c>
      <c r="D175" s="40" t="s">
        <v>492</v>
      </c>
      <c r="E175" s="40" t="s">
        <v>24</v>
      </c>
      <c r="F175" s="40" t="s">
        <v>493</v>
      </c>
      <c r="G175" s="41">
        <v>1</v>
      </c>
      <c r="H175" s="41">
        <v>20999</v>
      </c>
      <c r="I175" s="41">
        <v>0</v>
      </c>
      <c r="J175" s="41">
        <v>0</v>
      </c>
      <c r="K175" s="41">
        <v>20203</v>
      </c>
      <c r="L175" s="41" t="s">
        <v>494</v>
      </c>
      <c r="M175" s="41">
        <v>796</v>
      </c>
    </row>
    <row r="176" spans="1:13" x14ac:dyDescent="0.25">
      <c r="A176" s="40" t="s">
        <v>482</v>
      </c>
      <c r="B176" s="40" t="s">
        <v>12</v>
      </c>
      <c r="C176" s="40" t="s">
        <v>28</v>
      </c>
      <c r="D176" s="40" t="s">
        <v>495</v>
      </c>
      <c r="E176" s="40" t="s">
        <v>24</v>
      </c>
      <c r="F176" s="40" t="s">
        <v>234</v>
      </c>
      <c r="G176" s="41">
        <v>1</v>
      </c>
      <c r="H176" s="41">
        <v>32200</v>
      </c>
      <c r="I176" s="41">
        <v>0</v>
      </c>
      <c r="J176" s="41">
        <v>0</v>
      </c>
      <c r="K176" s="41">
        <v>31748</v>
      </c>
      <c r="L176" s="41" t="s">
        <v>496</v>
      </c>
      <c r="M176" s="41">
        <v>452</v>
      </c>
    </row>
    <row r="177" spans="1:13" x14ac:dyDescent="0.25">
      <c r="A177" s="40" t="s">
        <v>482</v>
      </c>
      <c r="B177" s="40" t="s">
        <v>12</v>
      </c>
      <c r="C177" s="40" t="s">
        <v>28</v>
      </c>
      <c r="D177" s="40" t="s">
        <v>497</v>
      </c>
      <c r="E177" s="40" t="s">
        <v>24</v>
      </c>
      <c r="F177" s="40" t="s">
        <v>211</v>
      </c>
      <c r="G177" s="41">
        <v>1</v>
      </c>
      <c r="H177" s="41">
        <v>14999</v>
      </c>
      <c r="I177" s="41">
        <v>0</v>
      </c>
      <c r="J177" s="41">
        <v>0</v>
      </c>
      <c r="K177" s="41">
        <v>14568</v>
      </c>
      <c r="L177" s="41" t="s">
        <v>498</v>
      </c>
      <c r="M177" s="41">
        <v>431</v>
      </c>
    </row>
    <row r="178" spans="1:13" x14ac:dyDescent="0.25">
      <c r="A178" s="40" t="s">
        <v>482</v>
      </c>
      <c r="B178" s="40" t="s">
        <v>12</v>
      </c>
      <c r="C178" s="40" t="s">
        <v>28</v>
      </c>
      <c r="D178" s="40" t="s">
        <v>499</v>
      </c>
      <c r="E178" s="40" t="s">
        <v>24</v>
      </c>
      <c r="F178" s="40" t="s">
        <v>500</v>
      </c>
      <c r="G178" s="41">
        <v>1</v>
      </c>
      <c r="H178" s="41">
        <v>26999</v>
      </c>
      <c r="I178" s="41">
        <v>0</v>
      </c>
      <c r="J178" s="41">
        <v>0</v>
      </c>
      <c r="K178" s="41">
        <v>25975</v>
      </c>
      <c r="L178" s="41" t="s">
        <v>501</v>
      </c>
      <c r="M178" s="41">
        <v>1024</v>
      </c>
    </row>
    <row r="179" spans="1:13" x14ac:dyDescent="0.25">
      <c r="A179" s="40" t="s">
        <v>482</v>
      </c>
      <c r="B179" s="40" t="s">
        <v>12</v>
      </c>
      <c r="C179" s="40" t="s">
        <v>28</v>
      </c>
      <c r="D179" s="40" t="s">
        <v>502</v>
      </c>
      <c r="E179" s="40" t="s">
        <v>95</v>
      </c>
      <c r="F179" s="40" t="s">
        <v>48</v>
      </c>
      <c r="G179" s="41">
        <v>1</v>
      </c>
      <c r="H179" s="41">
        <v>29500</v>
      </c>
      <c r="I179" s="41">
        <v>0</v>
      </c>
      <c r="J179" s="41">
        <v>0</v>
      </c>
      <c r="K179" s="41">
        <v>28862</v>
      </c>
      <c r="L179" s="41" t="s">
        <v>503</v>
      </c>
      <c r="M179" s="41">
        <v>638</v>
      </c>
    </row>
    <row r="180" spans="1:13" x14ac:dyDescent="0.25">
      <c r="A180" s="40" t="s">
        <v>482</v>
      </c>
      <c r="B180" s="40" t="s">
        <v>12</v>
      </c>
      <c r="C180" s="40" t="s">
        <v>28</v>
      </c>
      <c r="D180" s="40" t="s">
        <v>504</v>
      </c>
      <c r="E180" s="40" t="s">
        <v>95</v>
      </c>
      <c r="F180" s="40" t="s">
        <v>211</v>
      </c>
      <c r="G180" s="41">
        <v>1</v>
      </c>
      <c r="H180" s="41">
        <v>15000</v>
      </c>
      <c r="I180" s="41">
        <v>0</v>
      </c>
      <c r="J180" s="41">
        <v>0</v>
      </c>
      <c r="K180" s="41">
        <v>14568</v>
      </c>
      <c r="L180" s="41" t="s">
        <v>505</v>
      </c>
      <c r="M180" s="41">
        <v>432</v>
      </c>
    </row>
    <row r="181" spans="1:13" x14ac:dyDescent="0.25">
      <c r="A181" s="40" t="s">
        <v>482</v>
      </c>
      <c r="B181" s="40" t="s">
        <v>12</v>
      </c>
      <c r="C181" s="40" t="s">
        <v>28</v>
      </c>
      <c r="D181" s="40" t="s">
        <v>506</v>
      </c>
      <c r="E181" s="40" t="s">
        <v>95</v>
      </c>
      <c r="F181" s="40" t="s">
        <v>222</v>
      </c>
      <c r="G181" s="41">
        <v>1</v>
      </c>
      <c r="H181" s="41">
        <v>15000</v>
      </c>
      <c r="I181" s="41">
        <v>0</v>
      </c>
      <c r="J181" s="41">
        <v>0</v>
      </c>
      <c r="K181" s="41">
        <v>14568</v>
      </c>
      <c r="L181" s="41" t="s">
        <v>507</v>
      </c>
      <c r="M181" s="41">
        <v>432</v>
      </c>
    </row>
    <row r="182" spans="1:13" x14ac:dyDescent="0.25">
      <c r="A182" s="40" t="s">
        <v>482</v>
      </c>
      <c r="B182" s="40" t="s">
        <v>12</v>
      </c>
      <c r="C182" s="40" t="s">
        <v>28</v>
      </c>
      <c r="D182" s="40" t="s">
        <v>508</v>
      </c>
      <c r="E182" s="40" t="s">
        <v>135</v>
      </c>
      <c r="F182" s="40" t="s">
        <v>509</v>
      </c>
      <c r="G182" s="41">
        <v>1</v>
      </c>
      <c r="H182" s="41">
        <v>29999</v>
      </c>
      <c r="I182" s="41">
        <v>0</v>
      </c>
      <c r="J182" s="41">
        <v>0</v>
      </c>
      <c r="K182" s="41">
        <v>28862</v>
      </c>
      <c r="L182" s="41" t="s">
        <v>510</v>
      </c>
      <c r="M182" s="41">
        <v>1137</v>
      </c>
    </row>
    <row r="183" spans="1:13" x14ac:dyDescent="0.25">
      <c r="A183" s="40" t="s">
        <v>482</v>
      </c>
      <c r="B183" s="40" t="s">
        <v>12</v>
      </c>
      <c r="C183" s="40" t="s">
        <v>28</v>
      </c>
      <c r="D183" s="40" t="s">
        <v>511</v>
      </c>
      <c r="E183" s="40" t="s">
        <v>135</v>
      </c>
      <c r="F183" s="40" t="s">
        <v>222</v>
      </c>
      <c r="G183" s="41">
        <v>1</v>
      </c>
      <c r="H183" s="41">
        <v>14600</v>
      </c>
      <c r="I183" s="41">
        <v>0</v>
      </c>
      <c r="J183" s="41">
        <v>0</v>
      </c>
      <c r="K183" s="41">
        <v>14568</v>
      </c>
      <c r="L183" s="41" t="s">
        <v>512</v>
      </c>
      <c r="M183" s="41">
        <v>32</v>
      </c>
    </row>
    <row r="184" spans="1:13" x14ac:dyDescent="0.25">
      <c r="A184" s="40" t="s">
        <v>482</v>
      </c>
      <c r="B184" s="40" t="s">
        <v>12</v>
      </c>
      <c r="C184" s="40" t="s">
        <v>28</v>
      </c>
      <c r="D184" s="40" t="s">
        <v>513</v>
      </c>
      <c r="E184" s="40" t="s">
        <v>105</v>
      </c>
      <c r="F184" s="40" t="s">
        <v>229</v>
      </c>
      <c r="G184" s="41">
        <v>1</v>
      </c>
      <c r="H184" s="41">
        <v>20000</v>
      </c>
      <c r="I184" s="41">
        <v>0</v>
      </c>
      <c r="J184" s="41">
        <v>0</v>
      </c>
      <c r="K184" s="41">
        <v>20203</v>
      </c>
      <c r="L184" s="41" t="s">
        <v>514</v>
      </c>
      <c r="M184" s="41">
        <v>-203</v>
      </c>
    </row>
    <row r="185" spans="1:13" x14ac:dyDescent="0.25">
      <c r="A185" s="40" t="s">
        <v>482</v>
      </c>
      <c r="B185" s="40" t="s">
        <v>12</v>
      </c>
      <c r="C185" s="40" t="s">
        <v>28</v>
      </c>
      <c r="D185" s="40" t="s">
        <v>515</v>
      </c>
      <c r="E185" s="40" t="s">
        <v>30</v>
      </c>
      <c r="F185" s="40" t="s">
        <v>38</v>
      </c>
      <c r="G185" s="41">
        <v>1</v>
      </c>
      <c r="H185" s="41">
        <v>12500</v>
      </c>
      <c r="I185" s="41">
        <v>0</v>
      </c>
      <c r="J185" s="41">
        <v>0</v>
      </c>
      <c r="K185" s="41">
        <v>12140</v>
      </c>
      <c r="L185" s="41" t="s">
        <v>516</v>
      </c>
      <c r="M185" s="41">
        <v>360</v>
      </c>
    </row>
    <row r="186" spans="1:13" x14ac:dyDescent="0.25">
      <c r="A186" s="40" t="s">
        <v>482</v>
      </c>
      <c r="B186" s="40" t="s">
        <v>12</v>
      </c>
      <c r="C186" s="40" t="s">
        <v>28</v>
      </c>
      <c r="D186" s="40" t="s">
        <v>517</v>
      </c>
      <c r="E186" s="40" t="s">
        <v>34</v>
      </c>
      <c r="F186" s="40" t="s">
        <v>518</v>
      </c>
      <c r="G186" s="41">
        <v>1</v>
      </c>
      <c r="H186" s="41">
        <v>16966</v>
      </c>
      <c r="I186" s="41">
        <v>0</v>
      </c>
      <c r="J186" s="41">
        <v>0</v>
      </c>
      <c r="K186" s="41">
        <v>16511</v>
      </c>
      <c r="L186" s="41" t="s">
        <v>519</v>
      </c>
      <c r="M186" s="41">
        <v>455</v>
      </c>
    </row>
    <row r="187" spans="1:13" x14ac:dyDescent="0.25">
      <c r="A187" s="40" t="s">
        <v>482</v>
      </c>
      <c r="B187" s="40" t="s">
        <v>12</v>
      </c>
      <c r="C187" s="40" t="s">
        <v>28</v>
      </c>
      <c r="D187" s="40" t="s">
        <v>520</v>
      </c>
      <c r="E187" s="40" t="s">
        <v>34</v>
      </c>
      <c r="F187" s="40" t="s">
        <v>106</v>
      </c>
      <c r="G187" s="41">
        <v>1</v>
      </c>
      <c r="H187" s="41">
        <v>16999</v>
      </c>
      <c r="I187" s="41">
        <v>0</v>
      </c>
      <c r="J187" s="41">
        <v>0</v>
      </c>
      <c r="K187" s="41">
        <v>16511</v>
      </c>
      <c r="L187" s="41" t="s">
        <v>521</v>
      </c>
      <c r="M187" s="41">
        <v>488</v>
      </c>
    </row>
    <row r="188" spans="1:13" x14ac:dyDescent="0.25">
      <c r="A188" s="40" t="s">
        <v>482</v>
      </c>
      <c r="B188" s="40" t="s">
        <v>12</v>
      </c>
      <c r="C188" s="40" t="s">
        <v>28</v>
      </c>
      <c r="D188" s="40" t="s">
        <v>522</v>
      </c>
      <c r="E188" s="40" t="s">
        <v>41</v>
      </c>
      <c r="F188" s="40" t="s">
        <v>518</v>
      </c>
      <c r="G188" s="41">
        <v>1</v>
      </c>
      <c r="H188" s="41">
        <v>16999</v>
      </c>
      <c r="I188" s="41">
        <v>0</v>
      </c>
      <c r="J188" s="41">
        <v>0</v>
      </c>
      <c r="K188" s="41">
        <v>16511</v>
      </c>
      <c r="L188" s="41" t="s">
        <v>523</v>
      </c>
      <c r="M188" s="41">
        <v>488</v>
      </c>
    </row>
    <row r="189" spans="1:13" x14ac:dyDescent="0.25">
      <c r="A189" s="40" t="s">
        <v>482</v>
      </c>
      <c r="B189" s="40" t="s">
        <v>12</v>
      </c>
      <c r="C189" s="40" t="s">
        <v>18</v>
      </c>
      <c r="D189" s="40" t="s">
        <v>524</v>
      </c>
      <c r="E189" s="40" t="s">
        <v>135</v>
      </c>
      <c r="F189" s="40" t="s">
        <v>525</v>
      </c>
      <c r="G189" s="41">
        <v>1</v>
      </c>
      <c r="H189" s="41">
        <v>1100</v>
      </c>
      <c r="I189" s="41">
        <v>0</v>
      </c>
      <c r="J189" s="41">
        <v>0</v>
      </c>
      <c r="K189" s="41">
        <v>815</v>
      </c>
      <c r="L189" s="41" t="s">
        <v>526</v>
      </c>
      <c r="M189" s="41">
        <v>285</v>
      </c>
    </row>
    <row r="190" spans="1:13" x14ac:dyDescent="0.25">
      <c r="A190" s="40" t="s">
        <v>482</v>
      </c>
      <c r="B190" s="40" t="s">
        <v>12</v>
      </c>
      <c r="C190" s="40" t="s">
        <v>527</v>
      </c>
      <c r="D190" s="40" t="s">
        <v>528</v>
      </c>
      <c r="E190" s="40" t="s">
        <v>162</v>
      </c>
      <c r="F190" s="40" t="s">
        <v>529</v>
      </c>
      <c r="G190" s="41">
        <v>1</v>
      </c>
      <c r="H190" s="41">
        <v>45000</v>
      </c>
      <c r="I190" s="41">
        <v>0</v>
      </c>
      <c r="J190" s="41">
        <v>0</v>
      </c>
      <c r="K190" s="41">
        <v>43790</v>
      </c>
      <c r="L190" s="41" t="s">
        <v>530</v>
      </c>
      <c r="M190" s="41">
        <v>1210</v>
      </c>
    </row>
    <row r="191" spans="1:13" x14ac:dyDescent="0.25">
      <c r="A191" s="40" t="s">
        <v>482</v>
      </c>
      <c r="B191" s="40" t="s">
        <v>12</v>
      </c>
      <c r="C191" s="40" t="s">
        <v>22</v>
      </c>
      <c r="D191" s="40" t="s">
        <v>531</v>
      </c>
      <c r="E191" s="40" t="s">
        <v>105</v>
      </c>
      <c r="F191" s="40" t="s">
        <v>532</v>
      </c>
      <c r="G191" s="41">
        <v>1</v>
      </c>
      <c r="H191" s="41">
        <v>36500</v>
      </c>
      <c r="I191" s="41">
        <v>0</v>
      </c>
      <c r="J191" s="41">
        <v>0</v>
      </c>
      <c r="K191" s="41">
        <v>36052</v>
      </c>
      <c r="L191" s="41" t="s">
        <v>533</v>
      </c>
      <c r="M191" s="41">
        <v>448</v>
      </c>
    </row>
    <row r="192" spans="1:13" x14ac:dyDescent="0.25">
      <c r="A192" s="40" t="s">
        <v>482</v>
      </c>
      <c r="B192" s="40" t="s">
        <v>12</v>
      </c>
      <c r="C192" s="40" t="s">
        <v>22</v>
      </c>
      <c r="D192" s="40" t="s">
        <v>534</v>
      </c>
      <c r="E192" s="40" t="s">
        <v>30</v>
      </c>
      <c r="F192" s="40" t="s">
        <v>25</v>
      </c>
      <c r="G192" s="41">
        <v>1</v>
      </c>
      <c r="H192" s="41">
        <v>33999</v>
      </c>
      <c r="I192" s="41">
        <v>0</v>
      </c>
      <c r="J192" s="41">
        <v>0</v>
      </c>
      <c r="K192" s="41">
        <v>33129</v>
      </c>
      <c r="L192" s="41" t="s">
        <v>535</v>
      </c>
      <c r="M192" s="41">
        <v>870</v>
      </c>
    </row>
    <row r="193" spans="1:13" x14ac:dyDescent="0.25">
      <c r="A193" s="40" t="s">
        <v>482</v>
      </c>
      <c r="B193" s="40" t="s">
        <v>12</v>
      </c>
      <c r="C193" s="40" t="s">
        <v>22</v>
      </c>
      <c r="D193" s="40" t="s">
        <v>536</v>
      </c>
      <c r="E193" s="40" t="s">
        <v>34</v>
      </c>
      <c r="F193" s="40" t="s">
        <v>537</v>
      </c>
      <c r="G193" s="41">
        <v>1</v>
      </c>
      <c r="H193" s="41">
        <v>33999</v>
      </c>
      <c r="I193" s="41">
        <v>0</v>
      </c>
      <c r="J193" s="41">
        <v>0</v>
      </c>
      <c r="K193" s="41">
        <v>33129</v>
      </c>
      <c r="L193" s="41" t="s">
        <v>538</v>
      </c>
      <c r="M193" s="41">
        <v>870</v>
      </c>
    </row>
    <row r="194" spans="1:13" x14ac:dyDescent="0.25">
      <c r="A194" s="40" t="s">
        <v>482</v>
      </c>
      <c r="B194" s="40" t="s">
        <v>12</v>
      </c>
      <c r="C194" s="40" t="s">
        <v>22</v>
      </c>
      <c r="D194" s="40" t="s">
        <v>539</v>
      </c>
      <c r="E194" s="40" t="s">
        <v>45</v>
      </c>
      <c r="F194" s="40" t="s">
        <v>532</v>
      </c>
      <c r="G194" s="41">
        <v>1</v>
      </c>
      <c r="H194" s="41">
        <v>36999</v>
      </c>
      <c r="I194" s="41">
        <v>0</v>
      </c>
      <c r="J194" s="41">
        <v>0</v>
      </c>
      <c r="K194" s="41">
        <v>36052</v>
      </c>
      <c r="L194" s="41" t="s">
        <v>540</v>
      </c>
      <c r="M194" s="41">
        <v>947</v>
      </c>
    </row>
    <row r="195" spans="1:13" x14ac:dyDescent="0.25">
      <c r="A195" s="40" t="s">
        <v>482</v>
      </c>
      <c r="B195" s="40" t="s">
        <v>12</v>
      </c>
      <c r="C195" s="40" t="s">
        <v>22</v>
      </c>
      <c r="D195" s="40" t="s">
        <v>541</v>
      </c>
      <c r="E195" s="40" t="s">
        <v>45</v>
      </c>
      <c r="F195" s="40" t="s">
        <v>542</v>
      </c>
      <c r="G195" s="41">
        <v>1</v>
      </c>
      <c r="H195" s="41">
        <v>29000</v>
      </c>
      <c r="I195" s="41">
        <v>0</v>
      </c>
      <c r="J195" s="41">
        <v>0</v>
      </c>
      <c r="K195" s="41">
        <v>29278</v>
      </c>
      <c r="L195" s="41" t="s">
        <v>543</v>
      </c>
      <c r="M195" s="41">
        <v>-278</v>
      </c>
    </row>
    <row r="196" spans="1:13" x14ac:dyDescent="0.25">
      <c r="A196" s="40" t="s">
        <v>482</v>
      </c>
      <c r="B196" s="40" t="s">
        <v>12</v>
      </c>
      <c r="C196" s="40" t="s">
        <v>360</v>
      </c>
      <c r="D196" s="40" t="s">
        <v>544</v>
      </c>
      <c r="E196" s="40" t="s">
        <v>24</v>
      </c>
      <c r="F196" s="40" t="s">
        <v>545</v>
      </c>
      <c r="G196" s="41">
        <v>0</v>
      </c>
      <c r="H196" s="41">
        <v>0</v>
      </c>
      <c r="I196" s="41">
        <v>1</v>
      </c>
      <c r="J196" s="41">
        <v>20699</v>
      </c>
      <c r="K196" s="41">
        <v>20580</v>
      </c>
      <c r="L196" s="41" t="s">
        <v>546</v>
      </c>
      <c r="M196" s="41">
        <v>-119</v>
      </c>
    </row>
    <row r="197" spans="1:13" x14ac:dyDescent="0.25">
      <c r="A197" s="40" t="s">
        <v>482</v>
      </c>
      <c r="B197" s="40" t="s">
        <v>12</v>
      </c>
      <c r="C197" s="40" t="s">
        <v>360</v>
      </c>
      <c r="D197" s="40" t="s">
        <v>547</v>
      </c>
      <c r="E197" s="40" t="s">
        <v>105</v>
      </c>
      <c r="F197" s="40" t="s">
        <v>548</v>
      </c>
      <c r="G197" s="41">
        <v>1</v>
      </c>
      <c r="H197" s="41">
        <v>24500</v>
      </c>
      <c r="I197" s="41">
        <v>0</v>
      </c>
      <c r="J197" s="41">
        <v>0</v>
      </c>
      <c r="K197" s="41">
        <v>24107</v>
      </c>
      <c r="L197" s="41" t="s">
        <v>549</v>
      </c>
      <c r="M197" s="41">
        <v>393</v>
      </c>
    </row>
    <row r="198" spans="1:13" x14ac:dyDescent="0.25">
      <c r="A198" s="40" t="s">
        <v>482</v>
      </c>
      <c r="B198" s="40" t="s">
        <v>12</v>
      </c>
      <c r="C198" s="40" t="s">
        <v>360</v>
      </c>
      <c r="D198" s="40" t="s">
        <v>550</v>
      </c>
      <c r="E198" s="40" t="s">
        <v>162</v>
      </c>
      <c r="F198" s="40" t="s">
        <v>551</v>
      </c>
      <c r="G198" s="41">
        <v>1</v>
      </c>
      <c r="H198" s="41">
        <v>26800</v>
      </c>
      <c r="I198" s="41">
        <v>0</v>
      </c>
      <c r="J198" s="41">
        <v>0</v>
      </c>
      <c r="K198" s="41">
        <v>25729</v>
      </c>
      <c r="L198" s="41" t="s">
        <v>552</v>
      </c>
      <c r="M198" s="41">
        <v>1071</v>
      </c>
    </row>
    <row r="199" spans="1:13" x14ac:dyDescent="0.25">
      <c r="A199" s="40" t="s">
        <v>482</v>
      </c>
      <c r="B199" s="40" t="s">
        <v>12</v>
      </c>
      <c r="C199" s="40" t="s">
        <v>360</v>
      </c>
      <c r="D199" s="40" t="s">
        <v>553</v>
      </c>
      <c r="E199" s="40" t="s">
        <v>30</v>
      </c>
      <c r="F199" s="40" t="s">
        <v>554</v>
      </c>
      <c r="G199" s="41">
        <v>1</v>
      </c>
      <c r="H199" s="41">
        <v>55999</v>
      </c>
      <c r="I199" s="41">
        <v>0</v>
      </c>
      <c r="J199" s="41">
        <v>0</v>
      </c>
      <c r="K199" s="41">
        <v>54764</v>
      </c>
      <c r="L199" s="41" t="s">
        <v>555</v>
      </c>
      <c r="M199" s="41">
        <v>1235</v>
      </c>
    </row>
    <row r="200" spans="1:13" x14ac:dyDescent="0.25">
      <c r="A200" s="40" t="s">
        <v>482</v>
      </c>
      <c r="B200" s="40" t="s">
        <v>12</v>
      </c>
      <c r="C200" s="40" t="s">
        <v>50</v>
      </c>
      <c r="D200" s="40" t="s">
        <v>556</v>
      </c>
      <c r="E200" s="40" t="s">
        <v>95</v>
      </c>
      <c r="F200" s="40" t="s">
        <v>557</v>
      </c>
      <c r="G200" s="41">
        <v>1</v>
      </c>
      <c r="H200" s="41">
        <v>25500</v>
      </c>
      <c r="I200" s="41">
        <v>0</v>
      </c>
      <c r="J200" s="41">
        <v>0</v>
      </c>
      <c r="K200" s="41">
        <v>24625</v>
      </c>
      <c r="L200" s="41" t="s">
        <v>558</v>
      </c>
      <c r="M200" s="41">
        <v>875</v>
      </c>
    </row>
    <row r="201" spans="1:13" x14ac:dyDescent="0.25">
      <c r="A201" s="40" t="s">
        <v>482</v>
      </c>
      <c r="B201" s="40" t="s">
        <v>12</v>
      </c>
      <c r="C201" s="40" t="s">
        <v>50</v>
      </c>
      <c r="D201" s="40" t="s">
        <v>559</v>
      </c>
      <c r="E201" s="40" t="s">
        <v>135</v>
      </c>
      <c r="F201" s="40" t="s">
        <v>560</v>
      </c>
      <c r="G201" s="41">
        <v>1</v>
      </c>
      <c r="H201" s="41">
        <v>16000</v>
      </c>
      <c r="I201" s="41">
        <v>0</v>
      </c>
      <c r="J201" s="41">
        <v>0</v>
      </c>
      <c r="K201" s="41">
        <v>15455</v>
      </c>
      <c r="L201" s="41" t="s">
        <v>561</v>
      </c>
      <c r="M201" s="41">
        <v>545</v>
      </c>
    </row>
    <row r="202" spans="1:13" x14ac:dyDescent="0.25">
      <c r="A202" s="40" t="s">
        <v>482</v>
      </c>
      <c r="B202" s="40" t="s">
        <v>12</v>
      </c>
      <c r="C202" s="40" t="s">
        <v>50</v>
      </c>
      <c r="D202" s="40" t="s">
        <v>562</v>
      </c>
      <c r="E202" s="40" t="s">
        <v>162</v>
      </c>
      <c r="F202" s="40" t="s">
        <v>563</v>
      </c>
      <c r="G202" s="41">
        <v>1</v>
      </c>
      <c r="H202" s="41">
        <v>33000</v>
      </c>
      <c r="I202" s="41">
        <v>0</v>
      </c>
      <c r="J202" s="41">
        <v>0</v>
      </c>
      <c r="K202" s="41">
        <v>31010</v>
      </c>
      <c r="L202" s="41" t="s">
        <v>564</v>
      </c>
      <c r="M202" s="41">
        <v>1990</v>
      </c>
    </row>
    <row r="203" spans="1:13" x14ac:dyDescent="0.25">
      <c r="A203" s="40" t="s">
        <v>482</v>
      </c>
      <c r="B203" s="40" t="s">
        <v>12</v>
      </c>
      <c r="C203" s="40" t="s">
        <v>50</v>
      </c>
      <c r="D203" s="40" t="s">
        <v>565</v>
      </c>
      <c r="E203" s="40" t="s">
        <v>30</v>
      </c>
      <c r="F203" s="40" t="s">
        <v>566</v>
      </c>
      <c r="G203" s="41">
        <v>1</v>
      </c>
      <c r="H203" s="41">
        <v>18999</v>
      </c>
      <c r="I203" s="41">
        <v>0</v>
      </c>
      <c r="J203" s="41">
        <v>0</v>
      </c>
      <c r="K203" s="41">
        <v>18421</v>
      </c>
      <c r="L203" s="41" t="s">
        <v>567</v>
      </c>
      <c r="M203" s="41">
        <v>578</v>
      </c>
    </row>
    <row r="204" spans="1:13" x14ac:dyDescent="0.25">
      <c r="A204" s="40" t="s">
        <v>482</v>
      </c>
      <c r="B204" s="40" t="s">
        <v>12</v>
      </c>
      <c r="C204" s="40" t="s">
        <v>50</v>
      </c>
      <c r="D204" s="40" t="s">
        <v>568</v>
      </c>
      <c r="E204" s="40" t="s">
        <v>41</v>
      </c>
      <c r="F204" s="40" t="s">
        <v>569</v>
      </c>
      <c r="G204" s="41">
        <v>1</v>
      </c>
      <c r="H204" s="41">
        <v>14000</v>
      </c>
      <c r="I204" s="41">
        <v>0</v>
      </c>
      <c r="J204" s="41">
        <v>0</v>
      </c>
      <c r="K204" s="41">
        <v>14175</v>
      </c>
      <c r="L204" s="41" t="s">
        <v>570</v>
      </c>
      <c r="M204" s="41">
        <v>-175</v>
      </c>
    </row>
    <row r="205" spans="1:13" x14ac:dyDescent="0.25">
      <c r="A205" s="40" t="s">
        <v>482</v>
      </c>
      <c r="B205" s="40" t="s">
        <v>12</v>
      </c>
      <c r="C205" s="40" t="s">
        <v>114</v>
      </c>
      <c r="D205" s="40" t="s">
        <v>571</v>
      </c>
      <c r="E205" s="40" t="s">
        <v>15</v>
      </c>
      <c r="F205" s="40" t="s">
        <v>132</v>
      </c>
      <c r="G205" s="41">
        <v>1</v>
      </c>
      <c r="H205" s="41">
        <v>22500</v>
      </c>
      <c r="I205" s="41">
        <v>0</v>
      </c>
      <c r="J205" s="41">
        <v>0</v>
      </c>
      <c r="K205" s="41">
        <v>21968</v>
      </c>
      <c r="L205" s="41" t="s">
        <v>572</v>
      </c>
      <c r="M205" s="41">
        <v>532</v>
      </c>
    </row>
    <row r="206" spans="1:13" x14ac:dyDescent="0.25">
      <c r="A206" s="40" t="s">
        <v>482</v>
      </c>
      <c r="B206" s="40" t="s">
        <v>12</v>
      </c>
      <c r="C206" s="40" t="s">
        <v>114</v>
      </c>
      <c r="D206" s="40" t="s">
        <v>573</v>
      </c>
      <c r="E206" s="40" t="s">
        <v>15</v>
      </c>
      <c r="F206" s="40" t="s">
        <v>132</v>
      </c>
      <c r="G206" s="41">
        <v>1</v>
      </c>
      <c r="H206" s="41">
        <v>22500</v>
      </c>
      <c r="I206" s="41">
        <v>0</v>
      </c>
      <c r="J206" s="41">
        <v>0</v>
      </c>
      <c r="K206" s="41">
        <v>21968</v>
      </c>
      <c r="L206" s="41" t="s">
        <v>574</v>
      </c>
      <c r="M206" s="41">
        <v>532</v>
      </c>
    </row>
    <row r="207" spans="1:13" x14ac:dyDescent="0.25">
      <c r="A207" s="40" t="s">
        <v>482</v>
      </c>
      <c r="B207" s="40" t="s">
        <v>12</v>
      </c>
      <c r="C207" s="40" t="s">
        <v>114</v>
      </c>
      <c r="D207" s="40" t="s">
        <v>575</v>
      </c>
      <c r="E207" s="40" t="s">
        <v>95</v>
      </c>
      <c r="F207" s="40" t="s">
        <v>147</v>
      </c>
      <c r="G207" s="41">
        <v>1</v>
      </c>
      <c r="H207" s="41">
        <v>21000</v>
      </c>
      <c r="I207" s="41">
        <v>0</v>
      </c>
      <c r="J207" s="41">
        <v>0</v>
      </c>
      <c r="K207" s="41">
        <v>20307</v>
      </c>
      <c r="L207" s="41" t="s">
        <v>576</v>
      </c>
      <c r="M207" s="41">
        <v>693</v>
      </c>
    </row>
    <row r="208" spans="1:13" x14ac:dyDescent="0.25">
      <c r="A208" s="40" t="s">
        <v>482</v>
      </c>
      <c r="B208" s="40" t="s">
        <v>12</v>
      </c>
      <c r="C208" s="40" t="s">
        <v>114</v>
      </c>
      <c r="D208" s="40" t="s">
        <v>577</v>
      </c>
      <c r="E208" s="40" t="s">
        <v>109</v>
      </c>
      <c r="F208" s="40" t="s">
        <v>132</v>
      </c>
      <c r="G208" s="41">
        <v>1</v>
      </c>
      <c r="H208" s="41">
        <v>22269</v>
      </c>
      <c r="I208" s="41">
        <v>0</v>
      </c>
      <c r="J208" s="41">
        <v>0</v>
      </c>
      <c r="K208" s="41">
        <v>21968</v>
      </c>
      <c r="L208" s="41" t="s">
        <v>578</v>
      </c>
      <c r="M208" s="41">
        <v>301</v>
      </c>
    </row>
    <row r="209" spans="1:13" x14ac:dyDescent="0.25">
      <c r="A209" s="40" t="s">
        <v>482</v>
      </c>
      <c r="B209" s="40" t="s">
        <v>12</v>
      </c>
      <c r="C209" s="40" t="s">
        <v>114</v>
      </c>
      <c r="D209" s="40" t="s">
        <v>579</v>
      </c>
      <c r="E209" s="40" t="s">
        <v>162</v>
      </c>
      <c r="F209" s="40" t="s">
        <v>580</v>
      </c>
      <c r="G209" s="41">
        <v>1</v>
      </c>
      <c r="H209" s="41">
        <v>18500</v>
      </c>
      <c r="I209" s="41">
        <v>0</v>
      </c>
      <c r="J209" s="41">
        <v>0</v>
      </c>
      <c r="K209" s="41">
        <v>17528</v>
      </c>
      <c r="L209" s="41" t="s">
        <v>581</v>
      </c>
      <c r="M209" s="41">
        <v>972</v>
      </c>
    </row>
    <row r="210" spans="1:13" x14ac:dyDescent="0.25">
      <c r="A210" s="40" t="s">
        <v>482</v>
      </c>
      <c r="B210" s="40" t="s">
        <v>12</v>
      </c>
      <c r="C210" s="40" t="s">
        <v>114</v>
      </c>
      <c r="D210" s="40" t="s">
        <v>582</v>
      </c>
      <c r="E210" s="40" t="s">
        <v>30</v>
      </c>
      <c r="F210" s="40" t="s">
        <v>159</v>
      </c>
      <c r="G210" s="41">
        <v>1</v>
      </c>
      <c r="H210" s="41">
        <v>16000</v>
      </c>
      <c r="I210" s="41">
        <v>0</v>
      </c>
      <c r="J210" s="41">
        <v>0</v>
      </c>
      <c r="K210" s="41">
        <v>15956</v>
      </c>
      <c r="L210" s="41" t="s">
        <v>583</v>
      </c>
      <c r="M210" s="41">
        <v>44</v>
      </c>
    </row>
    <row r="211" spans="1:13" x14ac:dyDescent="0.25">
      <c r="A211" s="40" t="s">
        <v>482</v>
      </c>
      <c r="B211" s="40" t="s">
        <v>12</v>
      </c>
      <c r="C211" s="40" t="s">
        <v>114</v>
      </c>
      <c r="D211" s="40" t="s">
        <v>584</v>
      </c>
      <c r="E211" s="40" t="s">
        <v>30</v>
      </c>
      <c r="F211" s="40" t="s">
        <v>132</v>
      </c>
      <c r="G211" s="41">
        <v>1</v>
      </c>
      <c r="H211" s="41">
        <v>22000</v>
      </c>
      <c r="I211" s="41">
        <v>0</v>
      </c>
      <c r="J211" s="41">
        <v>0</v>
      </c>
      <c r="K211" s="41">
        <v>21968</v>
      </c>
      <c r="L211" s="41" t="s">
        <v>585</v>
      </c>
      <c r="M211" s="41">
        <v>32</v>
      </c>
    </row>
    <row r="212" spans="1:13" x14ac:dyDescent="0.25">
      <c r="A212" s="40" t="s">
        <v>482</v>
      </c>
      <c r="B212" s="40" t="s">
        <v>12</v>
      </c>
      <c r="C212" s="40" t="s">
        <v>114</v>
      </c>
      <c r="D212" s="40" t="s">
        <v>586</v>
      </c>
      <c r="E212" s="40" t="s">
        <v>34</v>
      </c>
      <c r="F212" s="40" t="s">
        <v>173</v>
      </c>
      <c r="G212" s="41">
        <v>1</v>
      </c>
      <c r="H212" s="41">
        <v>22200</v>
      </c>
      <c r="I212" s="41">
        <v>0</v>
      </c>
      <c r="J212" s="41">
        <v>0</v>
      </c>
      <c r="K212" s="41">
        <v>21968</v>
      </c>
      <c r="L212" s="41" t="s">
        <v>587</v>
      </c>
      <c r="M212" s="41">
        <v>232</v>
      </c>
    </row>
    <row r="213" spans="1:13" x14ac:dyDescent="0.25">
      <c r="A213" s="40" t="s">
        <v>482</v>
      </c>
      <c r="B213" s="40" t="s">
        <v>12</v>
      </c>
      <c r="C213" s="40" t="s">
        <v>114</v>
      </c>
      <c r="D213" s="40" t="s">
        <v>588</v>
      </c>
      <c r="E213" s="40" t="s">
        <v>41</v>
      </c>
      <c r="F213" s="40" t="s">
        <v>124</v>
      </c>
      <c r="G213" s="41">
        <v>1</v>
      </c>
      <c r="H213" s="41">
        <v>15500</v>
      </c>
      <c r="I213" s="41">
        <v>0</v>
      </c>
      <c r="J213" s="41">
        <v>0</v>
      </c>
      <c r="K213" s="41">
        <v>15000</v>
      </c>
      <c r="L213" s="41" t="s">
        <v>589</v>
      </c>
      <c r="M213" s="41">
        <v>500</v>
      </c>
    </row>
    <row r="214" spans="1:13" x14ac:dyDescent="0.25">
      <c r="A214" s="40" t="s">
        <v>482</v>
      </c>
      <c r="B214" s="40" t="s">
        <v>12</v>
      </c>
      <c r="C214" s="40" t="s">
        <v>56</v>
      </c>
      <c r="D214" s="40" t="s">
        <v>590</v>
      </c>
      <c r="E214" s="40" t="s">
        <v>105</v>
      </c>
      <c r="F214" s="40" t="s">
        <v>591</v>
      </c>
      <c r="G214" s="41">
        <v>1</v>
      </c>
      <c r="H214" s="41">
        <v>9900</v>
      </c>
      <c r="I214" s="41">
        <v>0</v>
      </c>
      <c r="J214" s="41">
        <v>0</v>
      </c>
      <c r="K214" s="41">
        <v>9622</v>
      </c>
      <c r="L214" s="41" t="s">
        <v>592</v>
      </c>
      <c r="M214" s="41">
        <v>278</v>
      </c>
    </row>
    <row r="215" spans="1:13" x14ac:dyDescent="0.25">
      <c r="A215" s="40" t="s">
        <v>482</v>
      </c>
      <c r="B215" s="40" t="s">
        <v>12</v>
      </c>
      <c r="C215" s="40" t="s">
        <v>56</v>
      </c>
      <c r="D215" s="40" t="s">
        <v>590</v>
      </c>
      <c r="E215" s="40" t="s">
        <v>105</v>
      </c>
      <c r="F215" s="40" t="s">
        <v>593</v>
      </c>
      <c r="G215" s="41">
        <v>1</v>
      </c>
      <c r="H215" s="41">
        <v>9900</v>
      </c>
      <c r="I215" s="41">
        <v>0</v>
      </c>
      <c r="J215" s="41">
        <v>0</v>
      </c>
      <c r="K215" s="41">
        <v>9622</v>
      </c>
      <c r="L215" s="41" t="s">
        <v>594</v>
      </c>
      <c r="M215" s="41">
        <v>278</v>
      </c>
    </row>
    <row r="216" spans="1:13" x14ac:dyDescent="0.25">
      <c r="A216" s="40" t="s">
        <v>482</v>
      </c>
      <c r="B216" s="40" t="s">
        <v>12</v>
      </c>
      <c r="C216" s="40" t="s">
        <v>60</v>
      </c>
      <c r="D216" s="40" t="s">
        <v>595</v>
      </c>
      <c r="E216" s="40" t="s">
        <v>109</v>
      </c>
      <c r="F216" s="40" t="s">
        <v>62</v>
      </c>
      <c r="G216" s="41">
        <v>1</v>
      </c>
      <c r="H216" s="41">
        <v>16200</v>
      </c>
      <c r="I216" s="41">
        <v>0</v>
      </c>
      <c r="J216" s="41">
        <v>0</v>
      </c>
      <c r="K216" s="41">
        <v>15847</v>
      </c>
      <c r="L216" s="41" t="s">
        <v>596</v>
      </c>
      <c r="M216" s="41">
        <v>353</v>
      </c>
    </row>
    <row r="217" spans="1:13" x14ac:dyDescent="0.25">
      <c r="A217" s="40" t="s">
        <v>482</v>
      </c>
      <c r="B217" s="40" t="s">
        <v>12</v>
      </c>
      <c r="C217" s="40" t="s">
        <v>60</v>
      </c>
      <c r="D217" s="40" t="s">
        <v>597</v>
      </c>
      <c r="E217" s="40" t="s">
        <v>41</v>
      </c>
      <c r="F217" s="40" t="s">
        <v>304</v>
      </c>
      <c r="G217" s="41">
        <v>1</v>
      </c>
      <c r="H217" s="41">
        <v>13900</v>
      </c>
      <c r="I217" s="41">
        <v>0</v>
      </c>
      <c r="J217" s="41">
        <v>0</v>
      </c>
      <c r="K217" s="41">
        <v>14010</v>
      </c>
      <c r="L217" s="41" t="s">
        <v>598</v>
      </c>
      <c r="M217" s="41">
        <v>-110</v>
      </c>
    </row>
    <row r="218" spans="1:13" x14ac:dyDescent="0.25">
      <c r="A218" s="40" t="s">
        <v>482</v>
      </c>
      <c r="B218" s="40" t="s">
        <v>12</v>
      </c>
      <c r="C218" s="40" t="s">
        <v>60</v>
      </c>
      <c r="D218" s="40" t="s">
        <v>599</v>
      </c>
      <c r="E218" s="40" t="s">
        <v>45</v>
      </c>
      <c r="F218" s="40" t="s">
        <v>600</v>
      </c>
      <c r="G218" s="41">
        <v>1</v>
      </c>
      <c r="H218" s="41">
        <v>39999</v>
      </c>
      <c r="I218" s="41">
        <v>0</v>
      </c>
      <c r="J218" s="41">
        <v>0</v>
      </c>
      <c r="K218" s="41">
        <v>38569</v>
      </c>
      <c r="L218" s="41" t="s">
        <v>601</v>
      </c>
      <c r="M218" s="41">
        <v>1430</v>
      </c>
    </row>
    <row r="219" spans="1:13" x14ac:dyDescent="0.25">
      <c r="A219" s="40" t="s">
        <v>482</v>
      </c>
      <c r="B219" s="40" t="s">
        <v>12</v>
      </c>
      <c r="C219" s="40" t="s">
        <v>60</v>
      </c>
      <c r="D219" s="40" t="s">
        <v>602</v>
      </c>
      <c r="E219" s="40" t="s">
        <v>45</v>
      </c>
      <c r="F219" s="40" t="s">
        <v>603</v>
      </c>
      <c r="G219" s="41">
        <v>1</v>
      </c>
      <c r="H219" s="41">
        <v>49000</v>
      </c>
      <c r="I219" s="41">
        <v>0</v>
      </c>
      <c r="J219" s="41">
        <v>0</v>
      </c>
      <c r="K219" s="41">
        <v>47689</v>
      </c>
      <c r="L219" s="41" t="s">
        <v>604</v>
      </c>
      <c r="M219" s="41">
        <v>1311</v>
      </c>
    </row>
    <row r="220" spans="1:13" x14ac:dyDescent="0.25">
      <c r="A220" s="40" t="s">
        <v>482</v>
      </c>
      <c r="B220" s="40" t="s">
        <v>12</v>
      </c>
      <c r="C220" s="40" t="s">
        <v>82</v>
      </c>
      <c r="D220" s="40" t="s">
        <v>605</v>
      </c>
      <c r="E220" s="40" t="s">
        <v>30</v>
      </c>
      <c r="F220" s="40" t="s">
        <v>606</v>
      </c>
      <c r="G220" s="41">
        <v>1</v>
      </c>
      <c r="H220" s="41">
        <v>8800</v>
      </c>
      <c r="I220" s="41">
        <v>0</v>
      </c>
      <c r="J220" s="41">
        <v>0</v>
      </c>
      <c r="K220" s="41">
        <v>8449</v>
      </c>
      <c r="L220" s="41" t="s">
        <v>607</v>
      </c>
      <c r="M220" s="41">
        <v>351</v>
      </c>
    </row>
    <row r="221" spans="1:13" x14ac:dyDescent="0.25">
      <c r="A221" s="40" t="s">
        <v>608</v>
      </c>
      <c r="B221" s="40" t="s">
        <v>27</v>
      </c>
      <c r="C221" s="40" t="s">
        <v>609</v>
      </c>
      <c r="D221" s="40" t="s">
        <v>610</v>
      </c>
      <c r="E221" s="40" t="s">
        <v>34</v>
      </c>
      <c r="F221" s="40" t="s">
        <v>611</v>
      </c>
      <c r="G221" s="41">
        <v>1</v>
      </c>
      <c r="H221" s="41">
        <v>7500</v>
      </c>
      <c r="I221" s="41">
        <v>0</v>
      </c>
      <c r="J221" s="41">
        <v>0</v>
      </c>
      <c r="K221" s="41">
        <v>7216</v>
      </c>
      <c r="L221" s="41" t="s">
        <v>612</v>
      </c>
      <c r="M221" s="41">
        <v>284</v>
      </c>
    </row>
    <row r="222" spans="1:13" x14ac:dyDescent="0.25">
      <c r="A222" s="40" t="s">
        <v>608</v>
      </c>
      <c r="B222" s="40" t="s">
        <v>27</v>
      </c>
      <c r="C222" s="40" t="s">
        <v>28</v>
      </c>
      <c r="D222" s="40" t="s">
        <v>613</v>
      </c>
      <c r="E222" s="40" t="s">
        <v>15</v>
      </c>
      <c r="F222" s="40" t="s">
        <v>31</v>
      </c>
      <c r="G222" s="41">
        <v>1</v>
      </c>
      <c r="H222" s="41">
        <v>12000</v>
      </c>
      <c r="I222" s="41">
        <v>0</v>
      </c>
      <c r="J222" s="41">
        <v>0</v>
      </c>
      <c r="K222" s="41">
        <v>11654</v>
      </c>
      <c r="L222" s="41" t="s">
        <v>614</v>
      </c>
      <c r="M222" s="41">
        <v>346</v>
      </c>
    </row>
    <row r="223" spans="1:13" x14ac:dyDescent="0.25">
      <c r="A223" s="40" t="s">
        <v>608</v>
      </c>
      <c r="B223" s="40" t="s">
        <v>27</v>
      </c>
      <c r="C223" s="40" t="s">
        <v>28</v>
      </c>
      <c r="D223" s="40" t="s">
        <v>615</v>
      </c>
      <c r="E223" s="40" t="s">
        <v>95</v>
      </c>
      <c r="F223" s="40" t="s">
        <v>433</v>
      </c>
      <c r="G223" s="41">
        <v>1</v>
      </c>
      <c r="H223" s="41">
        <v>20300</v>
      </c>
      <c r="I223" s="41">
        <v>0</v>
      </c>
      <c r="J223" s="41">
        <v>0</v>
      </c>
      <c r="K223" s="41">
        <v>20203</v>
      </c>
      <c r="L223" s="41" t="s">
        <v>616</v>
      </c>
      <c r="M223" s="41">
        <v>97</v>
      </c>
    </row>
    <row r="224" spans="1:13" x14ac:dyDescent="0.25">
      <c r="A224" s="40" t="s">
        <v>608</v>
      </c>
      <c r="B224" s="40" t="s">
        <v>27</v>
      </c>
      <c r="C224" s="40" t="s">
        <v>28</v>
      </c>
      <c r="D224" s="40" t="s">
        <v>617</v>
      </c>
      <c r="E224" s="40" t="s">
        <v>95</v>
      </c>
      <c r="F224" s="40" t="s">
        <v>222</v>
      </c>
      <c r="G224" s="41">
        <v>1</v>
      </c>
      <c r="H224" s="41">
        <v>14500</v>
      </c>
      <c r="I224" s="41">
        <v>0</v>
      </c>
      <c r="J224" s="41">
        <v>0</v>
      </c>
      <c r="K224" s="41">
        <v>14568</v>
      </c>
      <c r="L224" s="41" t="s">
        <v>618</v>
      </c>
      <c r="M224" s="41">
        <v>-68</v>
      </c>
    </row>
    <row r="225" spans="1:13" x14ac:dyDescent="0.25">
      <c r="A225" s="40" t="s">
        <v>608</v>
      </c>
      <c r="B225" s="40" t="s">
        <v>27</v>
      </c>
      <c r="C225" s="40" t="s">
        <v>28</v>
      </c>
      <c r="D225" s="40" t="s">
        <v>619</v>
      </c>
      <c r="E225" s="40" t="s">
        <v>95</v>
      </c>
      <c r="F225" s="40" t="s">
        <v>222</v>
      </c>
      <c r="G225" s="41">
        <v>1</v>
      </c>
      <c r="H225" s="41">
        <v>14500</v>
      </c>
      <c r="I225" s="41">
        <v>0</v>
      </c>
      <c r="J225" s="41">
        <v>0</v>
      </c>
      <c r="K225" s="41">
        <v>14568</v>
      </c>
      <c r="L225" s="41" t="s">
        <v>620</v>
      </c>
      <c r="M225" s="41">
        <v>-68</v>
      </c>
    </row>
    <row r="226" spans="1:13" x14ac:dyDescent="0.25">
      <c r="A226" s="40" t="s">
        <v>608</v>
      </c>
      <c r="B226" s="40" t="s">
        <v>27</v>
      </c>
      <c r="C226" s="40" t="s">
        <v>28</v>
      </c>
      <c r="D226" s="40" t="s">
        <v>621</v>
      </c>
      <c r="E226" s="40" t="s">
        <v>105</v>
      </c>
      <c r="F226" s="40" t="s">
        <v>219</v>
      </c>
      <c r="G226" s="41">
        <v>1</v>
      </c>
      <c r="H226" s="41">
        <v>12700</v>
      </c>
      <c r="I226" s="41">
        <v>0</v>
      </c>
      <c r="J226" s="41">
        <v>0</v>
      </c>
      <c r="K226" s="41">
        <v>12626</v>
      </c>
      <c r="L226" s="41" t="s">
        <v>622</v>
      </c>
      <c r="M226" s="41">
        <v>74</v>
      </c>
    </row>
    <row r="227" spans="1:13" x14ac:dyDescent="0.25">
      <c r="A227" s="40" t="s">
        <v>608</v>
      </c>
      <c r="B227" s="40" t="s">
        <v>27</v>
      </c>
      <c r="C227" s="40" t="s">
        <v>28</v>
      </c>
      <c r="D227" s="40" t="s">
        <v>623</v>
      </c>
      <c r="E227" s="40" t="s">
        <v>105</v>
      </c>
      <c r="F227" s="40" t="s">
        <v>500</v>
      </c>
      <c r="G227" s="41">
        <v>1</v>
      </c>
      <c r="H227" s="41">
        <v>26500</v>
      </c>
      <c r="I227" s="41">
        <v>0</v>
      </c>
      <c r="J227" s="41">
        <v>0</v>
      </c>
      <c r="K227" s="41">
        <v>25975</v>
      </c>
      <c r="L227" s="41" t="s">
        <v>624</v>
      </c>
      <c r="M227" s="41">
        <v>525</v>
      </c>
    </row>
    <row r="228" spans="1:13" x14ac:dyDescent="0.25">
      <c r="A228" s="40" t="s">
        <v>608</v>
      </c>
      <c r="B228" s="40" t="s">
        <v>27</v>
      </c>
      <c r="C228" s="40" t="s">
        <v>28</v>
      </c>
      <c r="D228" s="40" t="s">
        <v>625</v>
      </c>
      <c r="E228" s="40" t="s">
        <v>162</v>
      </c>
      <c r="F228" s="40" t="s">
        <v>35</v>
      </c>
      <c r="G228" s="41">
        <v>1</v>
      </c>
      <c r="H228" s="41">
        <v>14500</v>
      </c>
      <c r="I228" s="41">
        <v>0</v>
      </c>
      <c r="J228" s="41">
        <v>0</v>
      </c>
      <c r="K228" s="41">
        <v>15540</v>
      </c>
      <c r="L228" s="41" t="s">
        <v>626</v>
      </c>
      <c r="M228" s="41">
        <v>-1040</v>
      </c>
    </row>
    <row r="229" spans="1:13" x14ac:dyDescent="0.25">
      <c r="A229" s="40" t="s">
        <v>608</v>
      </c>
      <c r="B229" s="40" t="s">
        <v>27</v>
      </c>
      <c r="C229" s="40" t="s">
        <v>28</v>
      </c>
      <c r="D229" s="40" t="s">
        <v>625</v>
      </c>
      <c r="E229" s="40" t="s">
        <v>162</v>
      </c>
      <c r="F229" s="40" t="s">
        <v>35</v>
      </c>
      <c r="G229" s="41">
        <v>1</v>
      </c>
      <c r="H229" s="41">
        <v>14500</v>
      </c>
      <c r="I229" s="41">
        <v>0</v>
      </c>
      <c r="J229" s="41">
        <v>0</v>
      </c>
      <c r="K229" s="41">
        <v>15540</v>
      </c>
      <c r="L229" s="41" t="s">
        <v>627</v>
      </c>
      <c r="M229" s="41">
        <v>-1040</v>
      </c>
    </row>
    <row r="230" spans="1:13" x14ac:dyDescent="0.25">
      <c r="A230" s="40" t="s">
        <v>608</v>
      </c>
      <c r="B230" s="40" t="s">
        <v>27</v>
      </c>
      <c r="C230" s="40" t="s">
        <v>28</v>
      </c>
      <c r="D230" s="40" t="s">
        <v>625</v>
      </c>
      <c r="E230" s="40" t="s">
        <v>162</v>
      </c>
      <c r="F230" s="40" t="s">
        <v>35</v>
      </c>
      <c r="G230" s="41">
        <v>1</v>
      </c>
      <c r="H230" s="41">
        <v>14500</v>
      </c>
      <c r="I230" s="41">
        <v>0</v>
      </c>
      <c r="J230" s="41">
        <v>0</v>
      </c>
      <c r="K230" s="41">
        <v>15540</v>
      </c>
      <c r="L230" s="41" t="s">
        <v>628</v>
      </c>
      <c r="M230" s="41">
        <v>-1040</v>
      </c>
    </row>
    <row r="231" spans="1:13" x14ac:dyDescent="0.25">
      <c r="A231" s="40" t="s">
        <v>608</v>
      </c>
      <c r="B231" s="40" t="s">
        <v>27</v>
      </c>
      <c r="C231" s="40" t="s">
        <v>28</v>
      </c>
      <c r="D231" s="40" t="s">
        <v>625</v>
      </c>
      <c r="E231" s="40" t="s">
        <v>162</v>
      </c>
      <c r="F231" s="40" t="s">
        <v>35</v>
      </c>
      <c r="G231" s="41">
        <v>1</v>
      </c>
      <c r="H231" s="41">
        <v>14500</v>
      </c>
      <c r="I231" s="41">
        <v>0</v>
      </c>
      <c r="J231" s="41">
        <v>0</v>
      </c>
      <c r="K231" s="41">
        <v>15540</v>
      </c>
      <c r="L231" s="41" t="s">
        <v>629</v>
      </c>
      <c r="M231" s="41">
        <v>-1040</v>
      </c>
    </row>
    <row r="232" spans="1:13" x14ac:dyDescent="0.25">
      <c r="A232" s="40" t="s">
        <v>608</v>
      </c>
      <c r="B232" s="40" t="s">
        <v>27</v>
      </c>
      <c r="C232" s="40" t="s">
        <v>28</v>
      </c>
      <c r="D232" s="40" t="s">
        <v>625</v>
      </c>
      <c r="E232" s="40" t="s">
        <v>162</v>
      </c>
      <c r="F232" s="40" t="s">
        <v>35</v>
      </c>
      <c r="G232" s="41">
        <v>1</v>
      </c>
      <c r="H232" s="41">
        <v>14500</v>
      </c>
      <c r="I232" s="41">
        <v>0</v>
      </c>
      <c r="J232" s="41">
        <v>0</v>
      </c>
      <c r="K232" s="41">
        <v>15540</v>
      </c>
      <c r="L232" s="41" t="s">
        <v>630</v>
      </c>
      <c r="M232" s="41">
        <v>-1040</v>
      </c>
    </row>
    <row r="233" spans="1:13" x14ac:dyDescent="0.25">
      <c r="A233" s="40" t="s">
        <v>608</v>
      </c>
      <c r="B233" s="40" t="s">
        <v>27</v>
      </c>
      <c r="C233" s="40" t="s">
        <v>28</v>
      </c>
      <c r="D233" s="40" t="s">
        <v>625</v>
      </c>
      <c r="E233" s="40" t="s">
        <v>162</v>
      </c>
      <c r="F233" s="40" t="s">
        <v>35</v>
      </c>
      <c r="G233" s="41">
        <v>1</v>
      </c>
      <c r="H233" s="41">
        <v>14500</v>
      </c>
      <c r="I233" s="41">
        <v>0</v>
      </c>
      <c r="J233" s="41">
        <v>0</v>
      </c>
      <c r="K233" s="41">
        <v>15540</v>
      </c>
      <c r="L233" s="41" t="s">
        <v>631</v>
      </c>
      <c r="M233" s="41">
        <v>-1040</v>
      </c>
    </row>
    <row r="234" spans="1:13" x14ac:dyDescent="0.25">
      <c r="A234" s="40" t="s">
        <v>608</v>
      </c>
      <c r="B234" s="40" t="s">
        <v>27</v>
      </c>
      <c r="C234" s="40" t="s">
        <v>28</v>
      </c>
      <c r="D234" s="40" t="s">
        <v>625</v>
      </c>
      <c r="E234" s="40" t="s">
        <v>162</v>
      </c>
      <c r="F234" s="40" t="s">
        <v>35</v>
      </c>
      <c r="G234" s="41">
        <v>1</v>
      </c>
      <c r="H234" s="41">
        <v>14500</v>
      </c>
      <c r="I234" s="41">
        <v>0</v>
      </c>
      <c r="J234" s="41">
        <v>0</v>
      </c>
      <c r="K234" s="41">
        <v>15540</v>
      </c>
      <c r="L234" s="41" t="s">
        <v>632</v>
      </c>
      <c r="M234" s="41">
        <v>-1040</v>
      </c>
    </row>
    <row r="235" spans="1:13" x14ac:dyDescent="0.25">
      <c r="A235" s="40" t="s">
        <v>608</v>
      </c>
      <c r="B235" s="40" t="s">
        <v>27</v>
      </c>
      <c r="C235" s="40" t="s">
        <v>28</v>
      </c>
      <c r="D235" s="40" t="s">
        <v>625</v>
      </c>
      <c r="E235" s="40" t="s">
        <v>162</v>
      </c>
      <c r="F235" s="40" t="s">
        <v>35</v>
      </c>
      <c r="G235" s="41">
        <v>1</v>
      </c>
      <c r="H235" s="41">
        <v>14500</v>
      </c>
      <c r="I235" s="41">
        <v>0</v>
      </c>
      <c r="J235" s="41">
        <v>0</v>
      </c>
      <c r="K235" s="41">
        <v>15540</v>
      </c>
      <c r="L235" s="41" t="s">
        <v>633</v>
      </c>
      <c r="M235" s="41">
        <v>-1040</v>
      </c>
    </row>
    <row r="236" spans="1:13" x14ac:dyDescent="0.25">
      <c r="A236" s="40" t="s">
        <v>608</v>
      </c>
      <c r="B236" s="40" t="s">
        <v>27</v>
      </c>
      <c r="C236" s="40" t="s">
        <v>28</v>
      </c>
      <c r="D236" s="40" t="s">
        <v>634</v>
      </c>
      <c r="E236" s="40" t="s">
        <v>30</v>
      </c>
      <c r="F236" s="40" t="s">
        <v>222</v>
      </c>
      <c r="G236" s="41">
        <v>1</v>
      </c>
      <c r="H236" s="41">
        <v>15400</v>
      </c>
      <c r="I236" s="41">
        <v>0</v>
      </c>
      <c r="J236" s="41">
        <v>0</v>
      </c>
      <c r="K236" s="41">
        <v>15540</v>
      </c>
      <c r="L236" s="41" t="s">
        <v>635</v>
      </c>
      <c r="M236" s="41">
        <v>-140</v>
      </c>
    </row>
    <row r="237" spans="1:13" x14ac:dyDescent="0.25">
      <c r="A237" s="40" t="s">
        <v>608</v>
      </c>
      <c r="B237" s="40" t="s">
        <v>27</v>
      </c>
      <c r="C237" s="40" t="s">
        <v>28</v>
      </c>
      <c r="D237" s="40" t="s">
        <v>636</v>
      </c>
      <c r="E237" s="40" t="s">
        <v>30</v>
      </c>
      <c r="F237" s="40" t="s">
        <v>637</v>
      </c>
      <c r="G237" s="41">
        <v>1</v>
      </c>
      <c r="H237" s="41">
        <v>18200</v>
      </c>
      <c r="I237" s="41">
        <v>0</v>
      </c>
      <c r="J237" s="41">
        <v>0</v>
      </c>
      <c r="K237" s="41">
        <v>18454</v>
      </c>
      <c r="L237" s="41" t="s">
        <v>638</v>
      </c>
      <c r="M237" s="41">
        <v>-254</v>
      </c>
    </row>
    <row r="238" spans="1:13" x14ac:dyDescent="0.25">
      <c r="A238" s="40" t="s">
        <v>608</v>
      </c>
      <c r="B238" s="40" t="s">
        <v>27</v>
      </c>
      <c r="C238" s="40" t="s">
        <v>28</v>
      </c>
      <c r="D238" s="40" t="s">
        <v>639</v>
      </c>
      <c r="E238" s="40" t="s">
        <v>30</v>
      </c>
      <c r="F238" s="40" t="s">
        <v>35</v>
      </c>
      <c r="G238" s="41">
        <v>1</v>
      </c>
      <c r="H238" s="41">
        <v>15300</v>
      </c>
      <c r="I238" s="41">
        <v>0</v>
      </c>
      <c r="J238" s="41">
        <v>0</v>
      </c>
      <c r="K238" s="41">
        <v>15540</v>
      </c>
      <c r="L238" s="41" t="s">
        <v>640</v>
      </c>
      <c r="M238" s="41">
        <v>-240</v>
      </c>
    </row>
    <row r="239" spans="1:13" x14ac:dyDescent="0.25">
      <c r="A239" s="40" t="s">
        <v>608</v>
      </c>
      <c r="B239" s="40" t="s">
        <v>27</v>
      </c>
      <c r="C239" s="40" t="s">
        <v>28</v>
      </c>
      <c r="D239" s="40" t="s">
        <v>641</v>
      </c>
      <c r="E239" s="40" t="s">
        <v>45</v>
      </c>
      <c r="F239" s="40" t="s">
        <v>642</v>
      </c>
      <c r="G239" s="41">
        <v>1</v>
      </c>
      <c r="H239" s="41">
        <v>18500</v>
      </c>
      <c r="I239" s="41">
        <v>0</v>
      </c>
      <c r="J239" s="41">
        <v>0</v>
      </c>
      <c r="K239" s="41">
        <v>18454</v>
      </c>
      <c r="L239" s="41" t="s">
        <v>643</v>
      </c>
      <c r="M239" s="41">
        <v>46</v>
      </c>
    </row>
    <row r="240" spans="1:13" x14ac:dyDescent="0.25">
      <c r="A240" s="40" t="s">
        <v>608</v>
      </c>
      <c r="B240" s="40" t="s">
        <v>27</v>
      </c>
      <c r="C240" s="40" t="s">
        <v>18</v>
      </c>
      <c r="D240" s="40" t="s">
        <v>644</v>
      </c>
      <c r="E240" s="40" t="s">
        <v>45</v>
      </c>
      <c r="F240" s="40" t="s">
        <v>645</v>
      </c>
      <c r="G240" s="41">
        <v>1</v>
      </c>
      <c r="H240" s="41">
        <v>2200</v>
      </c>
      <c r="I240" s="41">
        <v>0</v>
      </c>
      <c r="J240" s="41">
        <v>0</v>
      </c>
      <c r="K240" s="41">
        <v>1733</v>
      </c>
      <c r="L240" s="41" t="s">
        <v>646</v>
      </c>
      <c r="M240" s="41">
        <v>467</v>
      </c>
    </row>
    <row r="241" spans="1:13" x14ac:dyDescent="0.25">
      <c r="A241" s="40" t="s">
        <v>608</v>
      </c>
      <c r="B241" s="40" t="s">
        <v>27</v>
      </c>
      <c r="C241" s="40" t="s">
        <v>527</v>
      </c>
      <c r="D241" s="40" t="s">
        <v>647</v>
      </c>
      <c r="E241" s="40" t="s">
        <v>34</v>
      </c>
      <c r="F241" s="40" t="s">
        <v>648</v>
      </c>
      <c r="G241" s="41">
        <v>1</v>
      </c>
      <c r="H241" s="41">
        <v>39999</v>
      </c>
      <c r="I241" s="41">
        <v>0</v>
      </c>
      <c r="J241" s="41">
        <v>0</v>
      </c>
      <c r="K241" s="41">
        <v>37944</v>
      </c>
      <c r="L241" s="41" t="s">
        <v>649</v>
      </c>
      <c r="M241" s="41">
        <v>2055</v>
      </c>
    </row>
    <row r="242" spans="1:13" x14ac:dyDescent="0.25">
      <c r="A242" s="40" t="s">
        <v>608</v>
      </c>
      <c r="B242" s="40" t="s">
        <v>27</v>
      </c>
      <c r="C242" s="40" t="s">
        <v>360</v>
      </c>
      <c r="D242" s="40" t="s">
        <v>650</v>
      </c>
      <c r="E242" s="40" t="s">
        <v>34</v>
      </c>
      <c r="F242" s="40" t="s">
        <v>651</v>
      </c>
      <c r="G242" s="41">
        <v>1</v>
      </c>
      <c r="H242" s="41">
        <v>16700</v>
      </c>
      <c r="I242" s="41">
        <v>0</v>
      </c>
      <c r="J242" s="41">
        <v>0</v>
      </c>
      <c r="K242" s="41">
        <v>16130</v>
      </c>
      <c r="L242" s="41" t="s">
        <v>652</v>
      </c>
      <c r="M242" s="41">
        <v>570</v>
      </c>
    </row>
    <row r="243" spans="1:13" x14ac:dyDescent="0.25">
      <c r="A243" s="40" t="s">
        <v>608</v>
      </c>
      <c r="B243" s="40" t="s">
        <v>27</v>
      </c>
      <c r="C243" s="40" t="s">
        <v>247</v>
      </c>
      <c r="D243" s="40" t="s">
        <v>653</v>
      </c>
      <c r="E243" s="40" t="s">
        <v>162</v>
      </c>
      <c r="F243" s="40" t="s">
        <v>249</v>
      </c>
      <c r="G243" s="41">
        <v>1</v>
      </c>
      <c r="H243" s="41">
        <v>11000</v>
      </c>
      <c r="I243" s="41">
        <v>0</v>
      </c>
      <c r="J243" s="41">
        <v>0</v>
      </c>
      <c r="K243" s="41">
        <v>10807</v>
      </c>
      <c r="L243" s="41" t="s">
        <v>654</v>
      </c>
      <c r="M243" s="41">
        <v>193</v>
      </c>
    </row>
    <row r="244" spans="1:13" x14ac:dyDescent="0.25">
      <c r="A244" s="40" t="s">
        <v>608</v>
      </c>
      <c r="B244" s="40" t="s">
        <v>27</v>
      </c>
      <c r="C244" s="40" t="s">
        <v>50</v>
      </c>
      <c r="D244" s="40" t="s">
        <v>655</v>
      </c>
      <c r="E244" s="40" t="s">
        <v>105</v>
      </c>
      <c r="F244" s="40" t="s">
        <v>656</v>
      </c>
      <c r="G244" s="41">
        <v>1</v>
      </c>
      <c r="H244" s="41">
        <v>36500</v>
      </c>
      <c r="I244" s="41">
        <v>0</v>
      </c>
      <c r="J244" s="41">
        <v>0</v>
      </c>
      <c r="K244" s="41">
        <v>33746</v>
      </c>
      <c r="L244" s="41" t="s">
        <v>657</v>
      </c>
      <c r="M244" s="41">
        <v>2754</v>
      </c>
    </row>
    <row r="245" spans="1:13" x14ac:dyDescent="0.25">
      <c r="A245" s="40" t="s">
        <v>608</v>
      </c>
      <c r="B245" s="40" t="s">
        <v>27</v>
      </c>
      <c r="C245" s="40" t="s">
        <v>50</v>
      </c>
      <c r="D245" s="40" t="s">
        <v>658</v>
      </c>
      <c r="E245" s="40" t="s">
        <v>30</v>
      </c>
      <c r="F245" s="40" t="s">
        <v>659</v>
      </c>
      <c r="G245" s="41">
        <v>1</v>
      </c>
      <c r="H245" s="41">
        <v>20999</v>
      </c>
      <c r="I245" s="41">
        <v>0</v>
      </c>
      <c r="J245" s="41">
        <v>0</v>
      </c>
      <c r="K245" s="41">
        <v>20361</v>
      </c>
      <c r="L245" s="41" t="s">
        <v>660</v>
      </c>
      <c r="M245" s="41">
        <v>638</v>
      </c>
    </row>
    <row r="246" spans="1:13" x14ac:dyDescent="0.25">
      <c r="A246" s="40" t="s">
        <v>608</v>
      </c>
      <c r="B246" s="40" t="s">
        <v>27</v>
      </c>
      <c r="C246" s="40" t="s">
        <v>114</v>
      </c>
      <c r="D246" s="40" t="s">
        <v>661</v>
      </c>
      <c r="E246" s="40" t="s">
        <v>24</v>
      </c>
      <c r="F246" s="40" t="s">
        <v>132</v>
      </c>
      <c r="G246" s="41">
        <v>1</v>
      </c>
      <c r="H246" s="41">
        <v>22500</v>
      </c>
      <c r="I246" s="41">
        <v>0</v>
      </c>
      <c r="J246" s="41">
        <v>0</v>
      </c>
      <c r="K246" s="41">
        <v>21968</v>
      </c>
      <c r="L246" s="41" t="s">
        <v>662</v>
      </c>
      <c r="M246" s="41">
        <v>532</v>
      </c>
    </row>
    <row r="247" spans="1:13" x14ac:dyDescent="0.25">
      <c r="A247" s="40" t="s">
        <v>608</v>
      </c>
      <c r="B247" s="40" t="s">
        <v>27</v>
      </c>
      <c r="C247" s="40" t="s">
        <v>114</v>
      </c>
      <c r="D247" s="40" t="s">
        <v>663</v>
      </c>
      <c r="E247" s="40" t="s">
        <v>24</v>
      </c>
      <c r="F247" s="40" t="s">
        <v>664</v>
      </c>
      <c r="G247" s="41">
        <v>1</v>
      </c>
      <c r="H247" s="41">
        <v>41275</v>
      </c>
      <c r="I247" s="41">
        <v>0</v>
      </c>
      <c r="J247" s="41">
        <v>0</v>
      </c>
      <c r="K247" s="41">
        <v>40614</v>
      </c>
      <c r="L247" s="41" t="s">
        <v>665</v>
      </c>
      <c r="M247" s="41">
        <v>661</v>
      </c>
    </row>
    <row r="248" spans="1:13" x14ac:dyDescent="0.25">
      <c r="A248" s="40" t="s">
        <v>608</v>
      </c>
      <c r="B248" s="40" t="s">
        <v>27</v>
      </c>
      <c r="C248" s="40" t="s">
        <v>114</v>
      </c>
      <c r="D248" s="40" t="s">
        <v>666</v>
      </c>
      <c r="E248" s="40" t="s">
        <v>95</v>
      </c>
      <c r="F248" s="40" t="s">
        <v>132</v>
      </c>
      <c r="G248" s="41">
        <v>1</v>
      </c>
      <c r="H248" s="41">
        <v>23000</v>
      </c>
      <c r="I248" s="41">
        <v>0</v>
      </c>
      <c r="J248" s="41">
        <v>0</v>
      </c>
      <c r="K248" s="41">
        <v>21968</v>
      </c>
      <c r="L248" s="41" t="s">
        <v>667</v>
      </c>
      <c r="M248" s="41">
        <v>1032</v>
      </c>
    </row>
    <row r="249" spans="1:13" x14ac:dyDescent="0.25">
      <c r="A249" s="40" t="s">
        <v>608</v>
      </c>
      <c r="B249" s="40" t="s">
        <v>27</v>
      </c>
      <c r="C249" s="40" t="s">
        <v>114</v>
      </c>
      <c r="D249" s="40" t="s">
        <v>668</v>
      </c>
      <c r="E249" s="40" t="s">
        <v>109</v>
      </c>
      <c r="F249" s="40" t="s">
        <v>170</v>
      </c>
      <c r="G249" s="41">
        <v>1</v>
      </c>
      <c r="H249" s="41">
        <v>18500</v>
      </c>
      <c r="I249" s="41">
        <v>0</v>
      </c>
      <c r="J249" s="41">
        <v>0</v>
      </c>
      <c r="K249" s="41">
        <v>18502</v>
      </c>
      <c r="L249" s="41" t="s">
        <v>669</v>
      </c>
      <c r="M249" s="41">
        <v>-2</v>
      </c>
    </row>
    <row r="250" spans="1:13" x14ac:dyDescent="0.25">
      <c r="A250" s="40" t="s">
        <v>608</v>
      </c>
      <c r="B250" s="40" t="s">
        <v>27</v>
      </c>
      <c r="C250" s="40" t="s">
        <v>114</v>
      </c>
      <c r="D250" s="40" t="s">
        <v>670</v>
      </c>
      <c r="E250" s="40" t="s">
        <v>109</v>
      </c>
      <c r="F250" s="40" t="s">
        <v>156</v>
      </c>
      <c r="G250" s="41">
        <v>1</v>
      </c>
      <c r="H250" s="41">
        <v>14500</v>
      </c>
      <c r="I250" s="41">
        <v>0</v>
      </c>
      <c r="J250" s="41">
        <v>0</v>
      </c>
      <c r="K250" s="41">
        <v>14440</v>
      </c>
      <c r="L250" s="41" t="s">
        <v>671</v>
      </c>
      <c r="M250" s="41">
        <v>60</v>
      </c>
    </row>
    <row r="251" spans="1:13" x14ac:dyDescent="0.25">
      <c r="A251" s="40" t="s">
        <v>608</v>
      </c>
      <c r="B251" s="40" t="s">
        <v>27</v>
      </c>
      <c r="C251" s="40" t="s">
        <v>114</v>
      </c>
      <c r="D251" s="40" t="s">
        <v>672</v>
      </c>
      <c r="E251" s="40" t="s">
        <v>109</v>
      </c>
      <c r="F251" s="40" t="s">
        <v>116</v>
      </c>
      <c r="G251" s="41">
        <v>1</v>
      </c>
      <c r="H251" s="41">
        <v>17500</v>
      </c>
      <c r="I251" s="41">
        <v>0</v>
      </c>
      <c r="J251" s="41">
        <v>0</v>
      </c>
      <c r="K251" s="41">
        <v>17834</v>
      </c>
      <c r="L251" s="41" t="s">
        <v>673</v>
      </c>
      <c r="M251" s="41">
        <v>-334</v>
      </c>
    </row>
    <row r="252" spans="1:13" x14ac:dyDescent="0.25">
      <c r="A252" s="40" t="s">
        <v>608</v>
      </c>
      <c r="B252" s="40" t="s">
        <v>27</v>
      </c>
      <c r="C252" s="40" t="s">
        <v>114</v>
      </c>
      <c r="D252" s="40" t="s">
        <v>674</v>
      </c>
      <c r="E252" s="40" t="s">
        <v>109</v>
      </c>
      <c r="F252" s="40" t="s">
        <v>147</v>
      </c>
      <c r="G252" s="41">
        <v>1</v>
      </c>
      <c r="H252" s="41">
        <v>21799</v>
      </c>
      <c r="I252" s="41">
        <v>0</v>
      </c>
      <c r="J252" s="41">
        <v>0</v>
      </c>
      <c r="K252" s="41">
        <v>20307</v>
      </c>
      <c r="L252" s="41" t="s">
        <v>675</v>
      </c>
      <c r="M252" s="41">
        <v>1492</v>
      </c>
    </row>
    <row r="253" spans="1:13" x14ac:dyDescent="0.25">
      <c r="A253" s="40" t="s">
        <v>608</v>
      </c>
      <c r="B253" s="40" t="s">
        <v>27</v>
      </c>
      <c r="C253" s="40" t="s">
        <v>114</v>
      </c>
      <c r="D253" s="40" t="s">
        <v>676</v>
      </c>
      <c r="E253" s="40" t="s">
        <v>162</v>
      </c>
      <c r="F253" s="40" t="s">
        <v>159</v>
      </c>
      <c r="G253" s="41">
        <v>1</v>
      </c>
      <c r="H253" s="41">
        <v>15500</v>
      </c>
      <c r="I253" s="41">
        <v>0</v>
      </c>
      <c r="J253" s="41">
        <v>0</v>
      </c>
      <c r="K253" s="41">
        <v>15956</v>
      </c>
      <c r="L253" s="41" t="s">
        <v>677</v>
      </c>
      <c r="M253" s="41">
        <v>-456</v>
      </c>
    </row>
    <row r="254" spans="1:13" x14ac:dyDescent="0.25">
      <c r="A254" s="40" t="s">
        <v>608</v>
      </c>
      <c r="B254" s="40" t="s">
        <v>27</v>
      </c>
      <c r="C254" s="40" t="s">
        <v>114</v>
      </c>
      <c r="D254" s="40" t="s">
        <v>678</v>
      </c>
      <c r="E254" s="40" t="s">
        <v>162</v>
      </c>
      <c r="F254" s="40" t="s">
        <v>679</v>
      </c>
      <c r="G254" s="41">
        <v>1</v>
      </c>
      <c r="H254" s="41">
        <v>18700</v>
      </c>
      <c r="I254" s="41">
        <v>0</v>
      </c>
      <c r="J254" s="41">
        <v>0</v>
      </c>
      <c r="K254" s="41">
        <v>18502</v>
      </c>
      <c r="L254" s="41" t="s">
        <v>680</v>
      </c>
      <c r="M254" s="41">
        <v>198</v>
      </c>
    </row>
    <row r="255" spans="1:13" x14ac:dyDescent="0.25">
      <c r="A255" s="40" t="s">
        <v>608</v>
      </c>
      <c r="B255" s="40" t="s">
        <v>27</v>
      </c>
      <c r="C255" s="40" t="s">
        <v>114</v>
      </c>
      <c r="D255" s="40" t="s">
        <v>681</v>
      </c>
      <c r="E255" s="40" t="s">
        <v>30</v>
      </c>
      <c r="F255" s="40" t="s">
        <v>159</v>
      </c>
      <c r="G255" s="41">
        <v>1</v>
      </c>
      <c r="H255" s="41">
        <v>15500</v>
      </c>
      <c r="I255" s="41">
        <v>0</v>
      </c>
      <c r="J255" s="41">
        <v>0</v>
      </c>
      <c r="K255" s="41">
        <v>15956</v>
      </c>
      <c r="L255" s="41" t="s">
        <v>682</v>
      </c>
      <c r="M255" s="41">
        <v>-456</v>
      </c>
    </row>
    <row r="256" spans="1:13" x14ac:dyDescent="0.25">
      <c r="A256" s="40" t="s">
        <v>608</v>
      </c>
      <c r="B256" s="40" t="s">
        <v>27</v>
      </c>
      <c r="C256" s="40" t="s">
        <v>114</v>
      </c>
      <c r="D256" s="40" t="s">
        <v>683</v>
      </c>
      <c r="E256" s="40" t="s">
        <v>34</v>
      </c>
      <c r="F256" s="40" t="s">
        <v>173</v>
      </c>
      <c r="G256" s="41">
        <v>1</v>
      </c>
      <c r="H256" s="41">
        <v>22000</v>
      </c>
      <c r="I256" s="41">
        <v>0</v>
      </c>
      <c r="J256" s="41">
        <v>0</v>
      </c>
      <c r="K256" s="41">
        <v>21968</v>
      </c>
      <c r="L256" s="41" t="s">
        <v>684</v>
      </c>
      <c r="M256" s="41">
        <v>32</v>
      </c>
    </row>
    <row r="257" spans="1:13" x14ac:dyDescent="0.25">
      <c r="A257" s="40" t="s">
        <v>608</v>
      </c>
      <c r="B257" s="40" t="s">
        <v>27</v>
      </c>
      <c r="C257" s="40" t="s">
        <v>114</v>
      </c>
      <c r="D257" s="40" t="s">
        <v>685</v>
      </c>
      <c r="E257" s="40" t="s">
        <v>45</v>
      </c>
      <c r="F257" s="40" t="s">
        <v>264</v>
      </c>
      <c r="G257" s="41">
        <v>1</v>
      </c>
      <c r="H257" s="41">
        <v>21000</v>
      </c>
      <c r="I257" s="41">
        <v>0</v>
      </c>
      <c r="J257" s="41">
        <v>0</v>
      </c>
      <c r="K257" s="41">
        <v>21209</v>
      </c>
      <c r="L257" s="41" t="s">
        <v>686</v>
      </c>
      <c r="M257" s="41">
        <v>-209</v>
      </c>
    </row>
    <row r="258" spans="1:13" x14ac:dyDescent="0.25">
      <c r="A258" s="40" t="s">
        <v>608</v>
      </c>
      <c r="B258" s="40" t="s">
        <v>27</v>
      </c>
      <c r="C258" s="40" t="s">
        <v>114</v>
      </c>
      <c r="D258" s="40" t="s">
        <v>687</v>
      </c>
      <c r="E258" s="40" t="s">
        <v>45</v>
      </c>
      <c r="F258" s="40" t="s">
        <v>688</v>
      </c>
      <c r="G258" s="41">
        <v>1</v>
      </c>
      <c r="H258" s="41">
        <v>26500</v>
      </c>
      <c r="I258" s="41">
        <v>0</v>
      </c>
      <c r="J258" s="41">
        <v>0</v>
      </c>
      <c r="K258" s="41">
        <v>25271</v>
      </c>
      <c r="L258" s="41" t="s">
        <v>689</v>
      </c>
      <c r="M258" s="41">
        <v>1229</v>
      </c>
    </row>
    <row r="259" spans="1:13" x14ac:dyDescent="0.25">
      <c r="A259" s="40" t="s">
        <v>608</v>
      </c>
      <c r="B259" s="40" t="s">
        <v>27</v>
      </c>
      <c r="C259" s="40" t="s">
        <v>56</v>
      </c>
      <c r="D259" s="40" t="s">
        <v>690</v>
      </c>
      <c r="E259" s="40" t="s">
        <v>24</v>
      </c>
      <c r="F259" s="40" t="s">
        <v>691</v>
      </c>
      <c r="G259" s="41">
        <v>1</v>
      </c>
      <c r="H259" s="41">
        <v>18999</v>
      </c>
      <c r="I259" s="41">
        <v>0</v>
      </c>
      <c r="J259" s="41">
        <v>0</v>
      </c>
      <c r="K259" s="41">
        <v>17110</v>
      </c>
      <c r="L259" s="41" t="s">
        <v>692</v>
      </c>
      <c r="M259" s="41">
        <v>1889</v>
      </c>
    </row>
    <row r="260" spans="1:13" x14ac:dyDescent="0.25">
      <c r="A260" s="40" t="s">
        <v>608</v>
      </c>
      <c r="B260" s="40" t="s">
        <v>27</v>
      </c>
      <c r="C260" s="40" t="s">
        <v>60</v>
      </c>
      <c r="D260" s="40" t="s">
        <v>693</v>
      </c>
      <c r="E260" s="40" t="s">
        <v>15</v>
      </c>
      <c r="F260" s="40" t="s">
        <v>278</v>
      </c>
      <c r="G260" s="41">
        <v>1</v>
      </c>
      <c r="H260" s="41">
        <v>18500</v>
      </c>
      <c r="I260" s="41">
        <v>0</v>
      </c>
      <c r="J260" s="41">
        <v>0</v>
      </c>
      <c r="K260" s="41">
        <v>18320</v>
      </c>
      <c r="L260" s="41" t="s">
        <v>694</v>
      </c>
      <c r="M260" s="41">
        <v>180</v>
      </c>
    </row>
    <row r="261" spans="1:13" x14ac:dyDescent="0.25">
      <c r="A261" s="40" t="s">
        <v>608</v>
      </c>
      <c r="B261" s="40" t="s">
        <v>27</v>
      </c>
      <c r="C261" s="40" t="s">
        <v>60</v>
      </c>
      <c r="D261" s="40" t="s">
        <v>695</v>
      </c>
      <c r="E261" s="40" t="s">
        <v>24</v>
      </c>
      <c r="F261" s="40" t="s">
        <v>696</v>
      </c>
      <c r="G261" s="41">
        <v>1</v>
      </c>
      <c r="H261" s="41">
        <v>17300</v>
      </c>
      <c r="I261" s="41">
        <v>0</v>
      </c>
      <c r="J261" s="41">
        <v>0</v>
      </c>
      <c r="K261" s="41">
        <v>17482</v>
      </c>
      <c r="L261" s="41" t="s">
        <v>697</v>
      </c>
      <c r="M261" s="41">
        <v>-182</v>
      </c>
    </row>
    <row r="262" spans="1:13" x14ac:dyDescent="0.25">
      <c r="A262" s="40" t="s">
        <v>608</v>
      </c>
      <c r="B262" s="40" t="s">
        <v>27</v>
      </c>
      <c r="C262" s="40" t="s">
        <v>60</v>
      </c>
      <c r="D262" s="40" t="s">
        <v>698</v>
      </c>
      <c r="E262" s="40" t="s">
        <v>135</v>
      </c>
      <c r="F262" s="40" t="s">
        <v>301</v>
      </c>
      <c r="G262" s="41">
        <v>1</v>
      </c>
      <c r="H262" s="41">
        <v>20501</v>
      </c>
      <c r="I262" s="41">
        <v>0</v>
      </c>
      <c r="J262" s="41">
        <v>0</v>
      </c>
      <c r="K262" s="41">
        <v>19370</v>
      </c>
      <c r="L262" s="41" t="s">
        <v>699</v>
      </c>
      <c r="M262" s="41">
        <v>1131</v>
      </c>
    </row>
    <row r="263" spans="1:13" x14ac:dyDescent="0.25">
      <c r="A263" s="40" t="s">
        <v>608</v>
      </c>
      <c r="B263" s="40" t="s">
        <v>27</v>
      </c>
      <c r="C263" s="40" t="s">
        <v>60</v>
      </c>
      <c r="D263" s="40" t="s">
        <v>700</v>
      </c>
      <c r="E263" s="40" t="s">
        <v>105</v>
      </c>
      <c r="F263" s="40" t="s">
        <v>701</v>
      </c>
      <c r="G263" s="41">
        <v>1</v>
      </c>
      <c r="H263" s="41">
        <v>14500</v>
      </c>
      <c r="I263" s="41">
        <v>0</v>
      </c>
      <c r="J263" s="41">
        <v>0</v>
      </c>
      <c r="K263" s="41">
        <v>14463</v>
      </c>
      <c r="L263" s="41" t="s">
        <v>702</v>
      </c>
      <c r="M263" s="41">
        <v>37</v>
      </c>
    </row>
    <row r="264" spans="1:13" x14ac:dyDescent="0.25">
      <c r="A264" s="40" t="s">
        <v>608</v>
      </c>
      <c r="B264" s="40" t="s">
        <v>27</v>
      </c>
      <c r="C264" s="40" t="s">
        <v>60</v>
      </c>
      <c r="D264" s="40" t="s">
        <v>703</v>
      </c>
      <c r="E264" s="40" t="s">
        <v>162</v>
      </c>
      <c r="F264" s="40" t="s">
        <v>319</v>
      </c>
      <c r="G264" s="41">
        <v>1</v>
      </c>
      <c r="H264" s="41">
        <v>9500</v>
      </c>
      <c r="I264" s="41">
        <v>0</v>
      </c>
      <c r="J264" s="41">
        <v>0</v>
      </c>
      <c r="K264" s="41">
        <v>9439</v>
      </c>
      <c r="L264" s="41" t="s">
        <v>704</v>
      </c>
      <c r="M264" s="41">
        <v>61</v>
      </c>
    </row>
    <row r="265" spans="1:13" x14ac:dyDescent="0.25">
      <c r="A265" s="40" t="s">
        <v>608</v>
      </c>
      <c r="B265" s="40" t="s">
        <v>27</v>
      </c>
      <c r="C265" s="40" t="s">
        <v>82</v>
      </c>
      <c r="D265" s="40" t="s">
        <v>705</v>
      </c>
      <c r="E265" s="40" t="s">
        <v>105</v>
      </c>
      <c r="F265" s="40" t="s">
        <v>376</v>
      </c>
      <c r="G265" s="41">
        <v>1</v>
      </c>
      <c r="H265" s="41">
        <v>35000</v>
      </c>
      <c r="I265" s="41">
        <v>0</v>
      </c>
      <c r="J265" s="41">
        <v>0</v>
      </c>
      <c r="K265" s="41">
        <v>34519</v>
      </c>
      <c r="L265" s="41" t="s">
        <v>706</v>
      </c>
      <c r="M265" s="41">
        <v>481</v>
      </c>
    </row>
    <row r="266" spans="1:13" x14ac:dyDescent="0.25">
      <c r="A266" s="40" t="s">
        <v>608</v>
      </c>
      <c r="B266" s="40" t="s">
        <v>27</v>
      </c>
      <c r="C266" s="40" t="s">
        <v>82</v>
      </c>
      <c r="D266" s="40" t="s">
        <v>707</v>
      </c>
      <c r="E266" s="40" t="s">
        <v>30</v>
      </c>
      <c r="F266" s="40" t="s">
        <v>708</v>
      </c>
      <c r="G266" s="41">
        <v>1</v>
      </c>
      <c r="H266" s="41">
        <v>7300</v>
      </c>
      <c r="I266" s="41">
        <v>0</v>
      </c>
      <c r="J266" s="41">
        <v>0</v>
      </c>
      <c r="K266" s="41">
        <v>7510</v>
      </c>
      <c r="L266" s="41" t="s">
        <v>709</v>
      </c>
      <c r="M266" s="41">
        <v>-210</v>
      </c>
    </row>
    <row r="267" spans="1:13" x14ac:dyDescent="0.25">
      <c r="A267" s="40" t="s">
        <v>608</v>
      </c>
      <c r="B267" s="40" t="s">
        <v>27</v>
      </c>
      <c r="C267" s="40" t="s">
        <v>82</v>
      </c>
      <c r="D267" s="40" t="s">
        <v>710</v>
      </c>
      <c r="E267" s="40" t="s">
        <v>30</v>
      </c>
      <c r="F267" s="40" t="s">
        <v>340</v>
      </c>
      <c r="G267" s="41">
        <v>1</v>
      </c>
      <c r="H267" s="41">
        <v>14000</v>
      </c>
      <c r="I267" s="41">
        <v>0</v>
      </c>
      <c r="J267" s="41">
        <v>0</v>
      </c>
      <c r="K267" s="41">
        <v>13539</v>
      </c>
      <c r="L267" s="41" t="s">
        <v>711</v>
      </c>
      <c r="M267" s="41">
        <v>461</v>
      </c>
    </row>
    <row r="268" spans="1:13" x14ac:dyDescent="0.25">
      <c r="A268" s="40" t="s">
        <v>608</v>
      </c>
      <c r="B268" s="40" t="s">
        <v>27</v>
      </c>
      <c r="C268" s="40" t="s">
        <v>82</v>
      </c>
      <c r="D268" s="40" t="s">
        <v>712</v>
      </c>
      <c r="E268" s="40" t="s">
        <v>34</v>
      </c>
      <c r="F268" s="40" t="s">
        <v>713</v>
      </c>
      <c r="G268" s="41">
        <v>1</v>
      </c>
      <c r="H268" s="41">
        <v>15300</v>
      </c>
      <c r="I268" s="41">
        <v>0</v>
      </c>
      <c r="J268" s="41">
        <v>0</v>
      </c>
      <c r="K268" s="41">
        <v>15407</v>
      </c>
      <c r="L268" s="41" t="s">
        <v>714</v>
      </c>
      <c r="M268" s="41">
        <v>-107</v>
      </c>
    </row>
    <row r="269" spans="1:13" x14ac:dyDescent="0.25">
      <c r="A269" s="40" t="s">
        <v>608</v>
      </c>
      <c r="B269" s="40" t="s">
        <v>27</v>
      </c>
      <c r="C269" s="40" t="s">
        <v>82</v>
      </c>
      <c r="D269" s="40" t="s">
        <v>715</v>
      </c>
      <c r="E269" s="40" t="s">
        <v>45</v>
      </c>
      <c r="F269" s="40" t="s">
        <v>385</v>
      </c>
      <c r="G269" s="41">
        <v>1</v>
      </c>
      <c r="H269" s="41">
        <v>14200</v>
      </c>
      <c r="I269" s="41">
        <v>0</v>
      </c>
      <c r="J269" s="41">
        <v>0</v>
      </c>
      <c r="K269" s="41">
        <v>13539</v>
      </c>
      <c r="L269" s="41" t="s">
        <v>716</v>
      </c>
      <c r="M269" s="41">
        <v>661</v>
      </c>
    </row>
    <row r="270" spans="1:13" x14ac:dyDescent="0.25">
      <c r="A270" s="40" t="s">
        <v>717</v>
      </c>
      <c r="B270" s="40" t="s">
        <v>12</v>
      </c>
      <c r="C270" s="40" t="s">
        <v>13</v>
      </c>
      <c r="D270" s="40" t="s">
        <v>718</v>
      </c>
      <c r="E270" s="40" t="s">
        <v>95</v>
      </c>
      <c r="F270" s="40" t="s">
        <v>719</v>
      </c>
      <c r="G270" s="41">
        <v>1</v>
      </c>
      <c r="H270" s="41">
        <v>7800</v>
      </c>
      <c r="I270" s="41">
        <v>0</v>
      </c>
      <c r="J270" s="41">
        <v>0</v>
      </c>
      <c r="K270" s="41">
        <v>8122</v>
      </c>
      <c r="L270" s="41" t="s">
        <v>720</v>
      </c>
      <c r="M270" s="41">
        <v>-322</v>
      </c>
    </row>
    <row r="271" spans="1:13" x14ac:dyDescent="0.25">
      <c r="A271" s="40" t="s">
        <v>717</v>
      </c>
      <c r="B271" s="40" t="s">
        <v>12</v>
      </c>
      <c r="C271" s="40" t="s">
        <v>28</v>
      </c>
      <c r="D271" s="40" t="s">
        <v>721</v>
      </c>
      <c r="E271" s="40" t="s">
        <v>24</v>
      </c>
      <c r="F271" s="40" t="s">
        <v>106</v>
      </c>
      <c r="G271" s="41">
        <v>1</v>
      </c>
      <c r="H271" s="41">
        <v>16500</v>
      </c>
      <c r="I271" s="41">
        <v>0</v>
      </c>
      <c r="J271" s="41">
        <v>0</v>
      </c>
      <c r="K271" s="41">
        <v>16511</v>
      </c>
      <c r="L271" s="41" t="s">
        <v>722</v>
      </c>
      <c r="M271" s="41">
        <v>-11</v>
      </c>
    </row>
    <row r="272" spans="1:13" x14ac:dyDescent="0.25">
      <c r="A272" s="40" t="s">
        <v>717</v>
      </c>
      <c r="B272" s="40" t="s">
        <v>12</v>
      </c>
      <c r="C272" s="40" t="s">
        <v>28</v>
      </c>
      <c r="D272" s="40" t="s">
        <v>723</v>
      </c>
      <c r="E272" s="40" t="s">
        <v>105</v>
      </c>
      <c r="F272" s="40" t="s">
        <v>106</v>
      </c>
      <c r="G272" s="41">
        <v>1</v>
      </c>
      <c r="H272" s="41">
        <v>16999</v>
      </c>
      <c r="I272" s="41">
        <v>0</v>
      </c>
      <c r="J272" s="41">
        <v>0</v>
      </c>
      <c r="K272" s="41">
        <v>16511</v>
      </c>
      <c r="L272" s="41" t="s">
        <v>724</v>
      </c>
      <c r="M272" s="41">
        <v>488</v>
      </c>
    </row>
    <row r="273" spans="1:13" x14ac:dyDescent="0.25">
      <c r="A273" s="40" t="s">
        <v>717</v>
      </c>
      <c r="B273" s="40" t="s">
        <v>12</v>
      </c>
      <c r="C273" s="40" t="s">
        <v>28</v>
      </c>
      <c r="D273" s="40" t="s">
        <v>725</v>
      </c>
      <c r="E273" s="40" t="s">
        <v>109</v>
      </c>
      <c r="F273" s="40" t="s">
        <v>106</v>
      </c>
      <c r="G273" s="41">
        <v>1</v>
      </c>
      <c r="H273" s="41">
        <v>16999</v>
      </c>
      <c r="I273" s="41">
        <v>0</v>
      </c>
      <c r="J273" s="41">
        <v>0</v>
      </c>
      <c r="K273" s="41">
        <v>16511</v>
      </c>
      <c r="L273" s="41" t="s">
        <v>726</v>
      </c>
      <c r="M273" s="41">
        <v>488</v>
      </c>
    </row>
    <row r="274" spans="1:13" x14ac:dyDescent="0.25">
      <c r="A274" s="40" t="s">
        <v>717</v>
      </c>
      <c r="B274" s="40" t="s">
        <v>12</v>
      </c>
      <c r="C274" s="40" t="s">
        <v>28</v>
      </c>
      <c r="D274" s="40" t="s">
        <v>727</v>
      </c>
      <c r="E274" s="40" t="s">
        <v>30</v>
      </c>
      <c r="F274" s="40" t="s">
        <v>38</v>
      </c>
      <c r="G274" s="41">
        <v>1</v>
      </c>
      <c r="H274" s="41">
        <v>12200</v>
      </c>
      <c r="I274" s="41">
        <v>0</v>
      </c>
      <c r="J274" s="41">
        <v>0</v>
      </c>
      <c r="K274" s="41">
        <v>12140</v>
      </c>
      <c r="L274" s="41" t="s">
        <v>728</v>
      </c>
      <c r="M274" s="41">
        <v>60</v>
      </c>
    </row>
    <row r="275" spans="1:13" x14ac:dyDescent="0.25">
      <c r="A275" s="40" t="s">
        <v>717</v>
      </c>
      <c r="B275" s="40" t="s">
        <v>12</v>
      </c>
      <c r="C275" s="40" t="s">
        <v>28</v>
      </c>
      <c r="D275" s="40" t="s">
        <v>729</v>
      </c>
      <c r="E275" s="40" t="s">
        <v>30</v>
      </c>
      <c r="F275" s="40" t="s">
        <v>518</v>
      </c>
      <c r="G275" s="41">
        <v>1</v>
      </c>
      <c r="H275" s="41">
        <v>16500</v>
      </c>
      <c r="I275" s="41">
        <v>0</v>
      </c>
      <c r="J275" s="41">
        <v>0</v>
      </c>
      <c r="K275" s="41">
        <v>16511</v>
      </c>
      <c r="L275" s="41" t="s">
        <v>730</v>
      </c>
      <c r="M275" s="41">
        <v>-11</v>
      </c>
    </row>
    <row r="276" spans="1:13" x14ac:dyDescent="0.25">
      <c r="A276" s="40" t="s">
        <v>717</v>
      </c>
      <c r="B276" s="40" t="s">
        <v>12</v>
      </c>
      <c r="C276" s="40" t="s">
        <v>22</v>
      </c>
      <c r="D276" s="40" t="s">
        <v>731</v>
      </c>
      <c r="E276" s="40" t="s">
        <v>135</v>
      </c>
      <c r="F276" s="40" t="s">
        <v>25</v>
      </c>
      <c r="G276" s="41">
        <v>1</v>
      </c>
      <c r="H276" s="41">
        <v>32999</v>
      </c>
      <c r="I276" s="41">
        <v>0</v>
      </c>
      <c r="J276" s="41">
        <v>0</v>
      </c>
      <c r="K276" s="41">
        <v>33129</v>
      </c>
      <c r="L276" s="41" t="s">
        <v>732</v>
      </c>
      <c r="M276" s="41">
        <v>-130</v>
      </c>
    </row>
    <row r="277" spans="1:13" x14ac:dyDescent="0.25">
      <c r="A277" s="40" t="s">
        <v>717</v>
      </c>
      <c r="B277" s="40" t="s">
        <v>12</v>
      </c>
      <c r="C277" s="40" t="s">
        <v>360</v>
      </c>
      <c r="D277" s="40" t="s">
        <v>733</v>
      </c>
      <c r="E277" s="40" t="s">
        <v>15</v>
      </c>
      <c r="F277" s="40" t="s">
        <v>734</v>
      </c>
      <c r="G277" s="41">
        <v>1</v>
      </c>
      <c r="H277" s="41">
        <v>35000</v>
      </c>
      <c r="I277" s="41">
        <v>0</v>
      </c>
      <c r="J277" s="41">
        <v>0</v>
      </c>
      <c r="K277" s="41">
        <v>34840</v>
      </c>
      <c r="L277" s="41" t="s">
        <v>735</v>
      </c>
      <c r="M277" s="41">
        <v>160</v>
      </c>
    </row>
    <row r="278" spans="1:13" x14ac:dyDescent="0.25">
      <c r="A278" s="40" t="s">
        <v>717</v>
      </c>
      <c r="B278" s="40" t="s">
        <v>12</v>
      </c>
      <c r="C278" s="40" t="s">
        <v>360</v>
      </c>
      <c r="D278" s="40" t="s">
        <v>736</v>
      </c>
      <c r="E278" s="40" t="s">
        <v>24</v>
      </c>
      <c r="F278" s="40" t="s">
        <v>737</v>
      </c>
      <c r="G278" s="41">
        <v>1</v>
      </c>
      <c r="H278" s="41">
        <v>26000</v>
      </c>
      <c r="I278" s="41">
        <v>0</v>
      </c>
      <c r="J278" s="41">
        <v>0</v>
      </c>
      <c r="K278" s="41">
        <v>25201</v>
      </c>
      <c r="L278" s="41" t="s">
        <v>738</v>
      </c>
      <c r="M278" s="41">
        <v>799</v>
      </c>
    </row>
    <row r="279" spans="1:13" x14ac:dyDescent="0.25">
      <c r="A279" s="40" t="s">
        <v>717</v>
      </c>
      <c r="B279" s="40" t="s">
        <v>12</v>
      </c>
      <c r="C279" s="40" t="s">
        <v>360</v>
      </c>
      <c r="D279" s="40" t="s">
        <v>739</v>
      </c>
      <c r="E279" s="40" t="s">
        <v>135</v>
      </c>
      <c r="F279" s="40" t="s">
        <v>740</v>
      </c>
      <c r="G279" s="41">
        <v>1</v>
      </c>
      <c r="H279" s="41">
        <v>27399</v>
      </c>
      <c r="I279" s="41">
        <v>0</v>
      </c>
      <c r="J279" s="41">
        <v>0</v>
      </c>
      <c r="K279" s="41">
        <v>27068</v>
      </c>
      <c r="L279" s="41" t="s">
        <v>741</v>
      </c>
      <c r="M279" s="41">
        <v>331</v>
      </c>
    </row>
    <row r="280" spans="1:13" x14ac:dyDescent="0.25">
      <c r="A280" s="40" t="s">
        <v>717</v>
      </c>
      <c r="B280" s="40" t="s">
        <v>12</v>
      </c>
      <c r="C280" s="40" t="s">
        <v>360</v>
      </c>
      <c r="D280" s="40" t="s">
        <v>742</v>
      </c>
      <c r="E280" s="40" t="s">
        <v>105</v>
      </c>
      <c r="F280" s="40" t="s">
        <v>734</v>
      </c>
      <c r="G280" s="41">
        <v>1</v>
      </c>
      <c r="H280" s="41">
        <v>36350</v>
      </c>
      <c r="I280" s="41">
        <v>0</v>
      </c>
      <c r="J280" s="41">
        <v>0</v>
      </c>
      <c r="K280" s="41">
        <v>34840</v>
      </c>
      <c r="L280" s="41" t="s">
        <v>743</v>
      </c>
      <c r="M280" s="41">
        <v>1510</v>
      </c>
    </row>
    <row r="281" spans="1:13" x14ac:dyDescent="0.25">
      <c r="A281" s="40" t="s">
        <v>717</v>
      </c>
      <c r="B281" s="40" t="s">
        <v>12</v>
      </c>
      <c r="C281" s="40" t="s">
        <v>360</v>
      </c>
      <c r="D281" s="40" t="s">
        <v>744</v>
      </c>
      <c r="E281" s="40" t="s">
        <v>109</v>
      </c>
      <c r="F281" s="40" t="s">
        <v>745</v>
      </c>
      <c r="G281" s="41">
        <v>1</v>
      </c>
      <c r="H281" s="41">
        <v>17970</v>
      </c>
      <c r="I281" s="41">
        <v>0</v>
      </c>
      <c r="J281" s="41">
        <v>0</v>
      </c>
      <c r="K281" s="41">
        <v>17969</v>
      </c>
      <c r="L281" s="41" t="s">
        <v>746</v>
      </c>
      <c r="M281" s="41">
        <v>1</v>
      </c>
    </row>
    <row r="282" spans="1:13" x14ac:dyDescent="0.25">
      <c r="A282" s="40" t="s">
        <v>717</v>
      </c>
      <c r="B282" s="40" t="s">
        <v>12</v>
      </c>
      <c r="C282" s="40" t="s">
        <v>360</v>
      </c>
      <c r="D282" s="40" t="s">
        <v>747</v>
      </c>
      <c r="E282" s="40" t="s">
        <v>109</v>
      </c>
      <c r="F282" s="40" t="s">
        <v>745</v>
      </c>
      <c r="G282" s="41">
        <v>1</v>
      </c>
      <c r="H282" s="41">
        <v>18500</v>
      </c>
      <c r="I282" s="41">
        <v>0</v>
      </c>
      <c r="J282" s="41">
        <v>0</v>
      </c>
      <c r="K282" s="41">
        <v>17969</v>
      </c>
      <c r="L282" s="41" t="s">
        <v>748</v>
      </c>
      <c r="M282" s="41">
        <v>531</v>
      </c>
    </row>
    <row r="283" spans="1:13" x14ac:dyDescent="0.25">
      <c r="A283" s="40" t="s">
        <v>717</v>
      </c>
      <c r="B283" s="40" t="s">
        <v>12</v>
      </c>
      <c r="C283" s="40" t="s">
        <v>360</v>
      </c>
      <c r="D283" s="40" t="s">
        <v>749</v>
      </c>
      <c r="E283" s="40" t="s">
        <v>162</v>
      </c>
      <c r="F283" s="40" t="s">
        <v>750</v>
      </c>
      <c r="G283" s="41">
        <v>1</v>
      </c>
      <c r="H283" s="41">
        <v>25799</v>
      </c>
      <c r="I283" s="41">
        <v>0</v>
      </c>
      <c r="J283" s="41">
        <v>0</v>
      </c>
      <c r="K283" s="41">
        <v>25729</v>
      </c>
      <c r="L283" s="41" t="s">
        <v>751</v>
      </c>
      <c r="M283" s="41">
        <v>70</v>
      </c>
    </row>
    <row r="284" spans="1:13" x14ac:dyDescent="0.25">
      <c r="A284" s="40" t="s">
        <v>717</v>
      </c>
      <c r="B284" s="40" t="s">
        <v>12</v>
      </c>
      <c r="C284" s="40" t="s">
        <v>360</v>
      </c>
      <c r="D284" s="40" t="s">
        <v>752</v>
      </c>
      <c r="E284" s="40" t="s">
        <v>30</v>
      </c>
      <c r="F284" s="40" t="s">
        <v>745</v>
      </c>
      <c r="G284" s="41">
        <v>1</v>
      </c>
      <c r="H284" s="41">
        <v>18200</v>
      </c>
      <c r="I284" s="41">
        <v>0</v>
      </c>
      <c r="J284" s="41">
        <v>0</v>
      </c>
      <c r="K284" s="41">
        <v>17969</v>
      </c>
      <c r="L284" s="41" t="s">
        <v>753</v>
      </c>
      <c r="M284" s="41">
        <v>231</v>
      </c>
    </row>
    <row r="285" spans="1:13" x14ac:dyDescent="0.25">
      <c r="A285" s="40" t="s">
        <v>717</v>
      </c>
      <c r="B285" s="40" t="s">
        <v>12</v>
      </c>
      <c r="C285" s="40" t="s">
        <v>360</v>
      </c>
      <c r="D285" s="40" t="s">
        <v>754</v>
      </c>
      <c r="E285" s="40" t="s">
        <v>34</v>
      </c>
      <c r="F285" s="40" t="s">
        <v>745</v>
      </c>
      <c r="G285" s="41">
        <v>1</v>
      </c>
      <c r="H285" s="41">
        <v>18500</v>
      </c>
      <c r="I285" s="41">
        <v>0</v>
      </c>
      <c r="J285" s="41">
        <v>0</v>
      </c>
      <c r="K285" s="41">
        <v>17969</v>
      </c>
      <c r="L285" s="41" t="s">
        <v>755</v>
      </c>
      <c r="M285" s="41">
        <v>531</v>
      </c>
    </row>
    <row r="286" spans="1:13" x14ac:dyDescent="0.25">
      <c r="A286" s="40" t="s">
        <v>717</v>
      </c>
      <c r="B286" s="40" t="s">
        <v>12</v>
      </c>
      <c r="C286" s="40" t="s">
        <v>360</v>
      </c>
      <c r="D286" s="40" t="s">
        <v>756</v>
      </c>
      <c r="E286" s="40" t="s">
        <v>41</v>
      </c>
      <c r="F286" s="40" t="s">
        <v>757</v>
      </c>
      <c r="G286" s="41">
        <v>1</v>
      </c>
      <c r="H286" s="41">
        <v>21999</v>
      </c>
      <c r="I286" s="41">
        <v>0</v>
      </c>
      <c r="J286" s="41">
        <v>0</v>
      </c>
      <c r="K286" s="41">
        <v>21212</v>
      </c>
      <c r="L286" s="41" t="s">
        <v>758</v>
      </c>
      <c r="M286" s="41">
        <v>787</v>
      </c>
    </row>
    <row r="287" spans="1:13" x14ac:dyDescent="0.25">
      <c r="A287" s="40" t="s">
        <v>717</v>
      </c>
      <c r="B287" s="40" t="s">
        <v>12</v>
      </c>
      <c r="C287" s="40" t="s">
        <v>114</v>
      </c>
      <c r="D287" s="40" t="s">
        <v>759</v>
      </c>
      <c r="E287" s="40" t="s">
        <v>15</v>
      </c>
      <c r="F287" s="40" t="s">
        <v>159</v>
      </c>
      <c r="G287" s="41">
        <v>1</v>
      </c>
      <c r="H287" s="41">
        <v>16500</v>
      </c>
      <c r="I287" s="41">
        <v>0</v>
      </c>
      <c r="J287" s="41">
        <v>0</v>
      </c>
      <c r="K287" s="41">
        <v>15956</v>
      </c>
      <c r="L287" s="41" t="s">
        <v>760</v>
      </c>
      <c r="M287" s="41">
        <v>544</v>
      </c>
    </row>
    <row r="288" spans="1:13" x14ac:dyDescent="0.25">
      <c r="A288" s="40" t="s">
        <v>717</v>
      </c>
      <c r="B288" s="40" t="s">
        <v>12</v>
      </c>
      <c r="C288" s="40" t="s">
        <v>114</v>
      </c>
      <c r="D288" s="40" t="s">
        <v>761</v>
      </c>
      <c r="E288" s="40" t="s">
        <v>95</v>
      </c>
      <c r="F288" s="40" t="s">
        <v>141</v>
      </c>
      <c r="G288" s="41">
        <v>1</v>
      </c>
      <c r="H288" s="41">
        <v>9000</v>
      </c>
      <c r="I288" s="41">
        <v>0</v>
      </c>
      <c r="J288" s="41">
        <v>0</v>
      </c>
      <c r="K288" s="41">
        <v>8916</v>
      </c>
      <c r="L288" s="41" t="s">
        <v>762</v>
      </c>
      <c r="M288" s="41">
        <v>84</v>
      </c>
    </row>
    <row r="289" spans="1:13" x14ac:dyDescent="0.25">
      <c r="A289" s="40" t="s">
        <v>763</v>
      </c>
      <c r="B289" s="40" t="s">
        <v>764</v>
      </c>
      <c r="C289" s="40" t="s">
        <v>609</v>
      </c>
      <c r="D289" s="40" t="s">
        <v>765</v>
      </c>
      <c r="E289" s="40" t="s">
        <v>162</v>
      </c>
      <c r="F289" s="40" t="s">
        <v>766</v>
      </c>
      <c r="G289" s="41">
        <v>1</v>
      </c>
      <c r="H289" s="41">
        <v>1500</v>
      </c>
      <c r="I289" s="41">
        <v>0</v>
      </c>
      <c r="J289" s="41">
        <v>0</v>
      </c>
      <c r="K289" s="41">
        <v>1159</v>
      </c>
      <c r="L289" s="41" t="s">
        <v>767</v>
      </c>
      <c r="M289" s="41">
        <v>341</v>
      </c>
    </row>
    <row r="290" spans="1:13" x14ac:dyDescent="0.25">
      <c r="A290" s="40" t="s">
        <v>763</v>
      </c>
      <c r="B290" s="40" t="s">
        <v>764</v>
      </c>
      <c r="C290" s="40" t="s">
        <v>28</v>
      </c>
      <c r="D290" s="40" t="s">
        <v>768</v>
      </c>
      <c r="E290" s="40" t="s">
        <v>24</v>
      </c>
      <c r="F290" s="40" t="s">
        <v>642</v>
      </c>
      <c r="G290" s="41">
        <v>1</v>
      </c>
      <c r="H290" s="41">
        <v>18999</v>
      </c>
      <c r="I290" s="41">
        <v>0</v>
      </c>
      <c r="J290" s="41">
        <v>0</v>
      </c>
      <c r="K290" s="41">
        <v>18454</v>
      </c>
      <c r="L290" s="41" t="s">
        <v>769</v>
      </c>
      <c r="M290" s="41">
        <v>545</v>
      </c>
    </row>
    <row r="291" spans="1:13" x14ac:dyDescent="0.25">
      <c r="A291" s="40" t="s">
        <v>763</v>
      </c>
      <c r="B291" s="40" t="s">
        <v>764</v>
      </c>
      <c r="C291" s="40" t="s">
        <v>28</v>
      </c>
      <c r="D291" s="40" t="s">
        <v>770</v>
      </c>
      <c r="E291" s="40" t="s">
        <v>45</v>
      </c>
      <c r="F291" s="40" t="s">
        <v>771</v>
      </c>
      <c r="G291" s="41">
        <v>1</v>
      </c>
      <c r="H291" s="41">
        <v>29999</v>
      </c>
      <c r="I291" s="41">
        <v>0</v>
      </c>
      <c r="J291" s="41">
        <v>0</v>
      </c>
      <c r="K291" s="41">
        <v>28862</v>
      </c>
      <c r="L291" s="41" t="s">
        <v>772</v>
      </c>
      <c r="M291" s="41">
        <v>1137</v>
      </c>
    </row>
    <row r="292" spans="1:13" x14ac:dyDescent="0.25">
      <c r="A292" s="40" t="s">
        <v>763</v>
      </c>
      <c r="B292" s="40" t="s">
        <v>764</v>
      </c>
      <c r="C292" s="40" t="s">
        <v>22</v>
      </c>
      <c r="D292" s="40" t="s">
        <v>773</v>
      </c>
      <c r="E292" s="40" t="s">
        <v>162</v>
      </c>
      <c r="F292" s="40" t="s">
        <v>25</v>
      </c>
      <c r="G292" s="41">
        <v>1</v>
      </c>
      <c r="H292" s="41">
        <v>33999</v>
      </c>
      <c r="I292" s="41">
        <v>0</v>
      </c>
      <c r="J292" s="41">
        <v>0</v>
      </c>
      <c r="K292" s="41">
        <v>33129</v>
      </c>
      <c r="L292" s="41" t="s">
        <v>774</v>
      </c>
      <c r="M292" s="41">
        <v>870</v>
      </c>
    </row>
    <row r="293" spans="1:13" x14ac:dyDescent="0.25">
      <c r="A293" s="40" t="s">
        <v>763</v>
      </c>
      <c r="B293" s="40" t="s">
        <v>764</v>
      </c>
      <c r="C293" s="40" t="s">
        <v>22</v>
      </c>
      <c r="D293" s="40" t="s">
        <v>775</v>
      </c>
      <c r="E293" s="40" t="s">
        <v>41</v>
      </c>
      <c r="F293" s="40" t="s">
        <v>25</v>
      </c>
      <c r="G293" s="41">
        <v>1</v>
      </c>
      <c r="H293" s="41">
        <v>33500</v>
      </c>
      <c r="I293" s="41">
        <v>0</v>
      </c>
      <c r="J293" s="41">
        <v>0</v>
      </c>
      <c r="K293" s="41">
        <v>33129</v>
      </c>
      <c r="L293" s="41" t="s">
        <v>776</v>
      </c>
      <c r="M293" s="41">
        <v>371</v>
      </c>
    </row>
    <row r="294" spans="1:13" x14ac:dyDescent="0.25">
      <c r="A294" s="40" t="s">
        <v>763</v>
      </c>
      <c r="B294" s="40" t="s">
        <v>764</v>
      </c>
      <c r="C294" s="40" t="s">
        <v>360</v>
      </c>
      <c r="D294" s="40" t="s">
        <v>777</v>
      </c>
      <c r="E294" s="40" t="s">
        <v>24</v>
      </c>
      <c r="F294" s="40" t="s">
        <v>778</v>
      </c>
      <c r="G294" s="41">
        <v>1</v>
      </c>
      <c r="H294" s="41">
        <v>18999</v>
      </c>
      <c r="I294" s="41">
        <v>0</v>
      </c>
      <c r="J294" s="41">
        <v>0</v>
      </c>
      <c r="K294" s="41">
        <v>17950</v>
      </c>
      <c r="L294" s="41" t="s">
        <v>779</v>
      </c>
      <c r="M294" s="41">
        <v>1049</v>
      </c>
    </row>
    <row r="295" spans="1:13" x14ac:dyDescent="0.25">
      <c r="A295" s="40" t="s">
        <v>763</v>
      </c>
      <c r="B295" s="40" t="s">
        <v>764</v>
      </c>
      <c r="C295" s="40" t="s">
        <v>50</v>
      </c>
      <c r="D295" s="40" t="s">
        <v>780</v>
      </c>
      <c r="E295" s="40" t="s">
        <v>24</v>
      </c>
      <c r="F295" s="40" t="s">
        <v>781</v>
      </c>
      <c r="G295" s="41">
        <v>1</v>
      </c>
      <c r="H295" s="41">
        <v>13000</v>
      </c>
      <c r="I295" s="41">
        <v>0</v>
      </c>
      <c r="J295" s="41">
        <v>0</v>
      </c>
      <c r="K295" s="41">
        <v>13582</v>
      </c>
      <c r="L295" s="41" t="s">
        <v>782</v>
      </c>
      <c r="M295" s="41">
        <v>-582</v>
      </c>
    </row>
    <row r="296" spans="1:13" x14ac:dyDescent="0.25">
      <c r="A296" s="40" t="s">
        <v>763</v>
      </c>
      <c r="B296" s="40" t="s">
        <v>764</v>
      </c>
      <c r="C296" s="40" t="s">
        <v>50</v>
      </c>
      <c r="D296" s="40" t="s">
        <v>783</v>
      </c>
      <c r="E296" s="40" t="s">
        <v>95</v>
      </c>
      <c r="F296" s="40" t="s">
        <v>784</v>
      </c>
      <c r="G296" s="41">
        <v>1</v>
      </c>
      <c r="H296" s="41">
        <v>29999</v>
      </c>
      <c r="I296" s="41">
        <v>0</v>
      </c>
      <c r="J296" s="41">
        <v>0</v>
      </c>
      <c r="K296" s="41">
        <v>27362</v>
      </c>
      <c r="L296" s="41" t="s">
        <v>785</v>
      </c>
      <c r="M296" s="41">
        <v>2637</v>
      </c>
    </row>
    <row r="297" spans="1:13" x14ac:dyDescent="0.25">
      <c r="A297" s="40" t="s">
        <v>763</v>
      </c>
      <c r="B297" s="40" t="s">
        <v>764</v>
      </c>
      <c r="C297" s="40" t="s">
        <v>50</v>
      </c>
      <c r="D297" s="40" t="s">
        <v>786</v>
      </c>
      <c r="E297" s="40" t="s">
        <v>95</v>
      </c>
      <c r="F297" s="40" t="s">
        <v>787</v>
      </c>
      <c r="G297" s="41">
        <v>1</v>
      </c>
      <c r="H297" s="41">
        <v>21500</v>
      </c>
      <c r="I297" s="41">
        <v>0</v>
      </c>
      <c r="J297" s="41">
        <v>0</v>
      </c>
      <c r="K297" s="41">
        <v>20246</v>
      </c>
      <c r="L297" s="41" t="s">
        <v>788</v>
      </c>
      <c r="M297" s="41">
        <v>1254</v>
      </c>
    </row>
    <row r="298" spans="1:13" x14ac:dyDescent="0.25">
      <c r="A298" s="40" t="s">
        <v>763</v>
      </c>
      <c r="B298" s="40" t="s">
        <v>764</v>
      </c>
      <c r="C298" s="40" t="s">
        <v>50</v>
      </c>
      <c r="D298" s="40" t="s">
        <v>789</v>
      </c>
      <c r="E298" s="40" t="s">
        <v>135</v>
      </c>
      <c r="F298" s="40" t="s">
        <v>368</v>
      </c>
      <c r="G298" s="41">
        <v>1</v>
      </c>
      <c r="H298" s="41">
        <v>43000</v>
      </c>
      <c r="I298" s="41">
        <v>0</v>
      </c>
      <c r="J298" s="41">
        <v>0</v>
      </c>
      <c r="K298" s="41">
        <v>40131</v>
      </c>
      <c r="L298" s="41" t="s">
        <v>790</v>
      </c>
      <c r="M298" s="41">
        <v>2869</v>
      </c>
    </row>
    <row r="299" spans="1:13" x14ac:dyDescent="0.25">
      <c r="A299" s="40" t="s">
        <v>763</v>
      </c>
      <c r="B299" s="40" t="s">
        <v>764</v>
      </c>
      <c r="C299" s="40" t="s">
        <v>50</v>
      </c>
      <c r="D299" s="40" t="s">
        <v>791</v>
      </c>
      <c r="E299" s="40" t="s">
        <v>105</v>
      </c>
      <c r="F299" s="40" t="s">
        <v>792</v>
      </c>
      <c r="G299" s="41">
        <v>1</v>
      </c>
      <c r="H299" s="41">
        <v>18000</v>
      </c>
      <c r="I299" s="41">
        <v>0</v>
      </c>
      <c r="J299" s="41">
        <v>0</v>
      </c>
      <c r="K299" s="41">
        <v>17329</v>
      </c>
      <c r="L299" s="41" t="s">
        <v>793</v>
      </c>
      <c r="M299" s="41">
        <v>671</v>
      </c>
    </row>
    <row r="300" spans="1:13" x14ac:dyDescent="0.25">
      <c r="A300" s="40" t="s">
        <v>763</v>
      </c>
      <c r="B300" s="40" t="s">
        <v>764</v>
      </c>
      <c r="C300" s="40" t="s">
        <v>50</v>
      </c>
      <c r="D300" s="40" t="s">
        <v>794</v>
      </c>
      <c r="E300" s="40" t="s">
        <v>109</v>
      </c>
      <c r="F300" s="40" t="s">
        <v>795</v>
      </c>
      <c r="G300" s="41">
        <v>1</v>
      </c>
      <c r="H300" s="41">
        <v>37300</v>
      </c>
      <c r="I300" s="41">
        <v>0</v>
      </c>
      <c r="J300" s="41">
        <v>0</v>
      </c>
      <c r="K300" s="41">
        <v>34658</v>
      </c>
      <c r="L300" s="41" t="s">
        <v>796</v>
      </c>
      <c r="M300" s="41">
        <v>2642</v>
      </c>
    </row>
    <row r="301" spans="1:13" x14ac:dyDescent="0.25">
      <c r="A301" s="40" t="s">
        <v>763</v>
      </c>
      <c r="B301" s="40" t="s">
        <v>764</v>
      </c>
      <c r="C301" s="40" t="s">
        <v>50</v>
      </c>
      <c r="D301" s="40" t="s">
        <v>797</v>
      </c>
      <c r="E301" s="40" t="s">
        <v>109</v>
      </c>
      <c r="F301" s="40" t="s">
        <v>254</v>
      </c>
      <c r="G301" s="41">
        <v>1</v>
      </c>
      <c r="H301" s="41">
        <v>31864</v>
      </c>
      <c r="I301" s="41">
        <v>0</v>
      </c>
      <c r="J301" s="41">
        <v>0</v>
      </c>
      <c r="K301" s="41">
        <v>29186</v>
      </c>
      <c r="L301" s="41" t="s">
        <v>798</v>
      </c>
      <c r="M301" s="41">
        <v>2678</v>
      </c>
    </row>
    <row r="302" spans="1:13" x14ac:dyDescent="0.25">
      <c r="A302" s="40" t="s">
        <v>763</v>
      </c>
      <c r="B302" s="40" t="s">
        <v>764</v>
      </c>
      <c r="C302" s="40" t="s">
        <v>50</v>
      </c>
      <c r="D302" s="40" t="s">
        <v>799</v>
      </c>
      <c r="E302" s="40" t="s">
        <v>109</v>
      </c>
      <c r="F302" s="40" t="s">
        <v>800</v>
      </c>
      <c r="G302" s="41">
        <v>1</v>
      </c>
      <c r="H302" s="41">
        <v>19250</v>
      </c>
      <c r="I302" s="41">
        <v>0</v>
      </c>
      <c r="J302" s="41">
        <v>0</v>
      </c>
      <c r="K302" s="41">
        <v>18734</v>
      </c>
      <c r="L302" s="41" t="s">
        <v>801</v>
      </c>
      <c r="M302" s="41">
        <v>516</v>
      </c>
    </row>
    <row r="303" spans="1:13" x14ac:dyDescent="0.25">
      <c r="A303" s="40" t="s">
        <v>763</v>
      </c>
      <c r="B303" s="40" t="s">
        <v>764</v>
      </c>
      <c r="C303" s="40" t="s">
        <v>50</v>
      </c>
      <c r="D303" s="40" t="s">
        <v>802</v>
      </c>
      <c r="E303" s="40" t="s">
        <v>162</v>
      </c>
      <c r="F303" s="40" t="s">
        <v>254</v>
      </c>
      <c r="G303" s="41">
        <v>1</v>
      </c>
      <c r="H303" s="41">
        <v>31000</v>
      </c>
      <c r="I303" s="41">
        <v>0</v>
      </c>
      <c r="J303" s="41">
        <v>0</v>
      </c>
      <c r="K303" s="41">
        <v>29186</v>
      </c>
      <c r="L303" s="41" t="s">
        <v>803</v>
      </c>
      <c r="M303" s="41">
        <v>1814</v>
      </c>
    </row>
    <row r="304" spans="1:13" x14ac:dyDescent="0.25">
      <c r="A304" s="40" t="s">
        <v>763</v>
      </c>
      <c r="B304" s="40" t="s">
        <v>764</v>
      </c>
      <c r="C304" s="40" t="s">
        <v>50</v>
      </c>
      <c r="D304" s="40" t="s">
        <v>804</v>
      </c>
      <c r="E304" s="40" t="s">
        <v>30</v>
      </c>
      <c r="F304" s="40" t="s">
        <v>792</v>
      </c>
      <c r="G304" s="41">
        <v>1</v>
      </c>
      <c r="H304" s="41">
        <v>18000</v>
      </c>
      <c r="I304" s="41">
        <v>0</v>
      </c>
      <c r="J304" s="41">
        <v>0</v>
      </c>
      <c r="K304" s="41">
        <v>17329</v>
      </c>
      <c r="L304" s="41" t="s">
        <v>805</v>
      </c>
      <c r="M304" s="41">
        <v>671</v>
      </c>
    </row>
    <row r="305" spans="1:13" x14ac:dyDescent="0.25">
      <c r="A305" s="40" t="s">
        <v>763</v>
      </c>
      <c r="B305" s="40" t="s">
        <v>764</v>
      </c>
      <c r="C305" s="40" t="s">
        <v>50</v>
      </c>
      <c r="D305" s="40" t="s">
        <v>806</v>
      </c>
      <c r="E305" s="40" t="s">
        <v>30</v>
      </c>
      <c r="F305" s="40" t="s">
        <v>807</v>
      </c>
      <c r="G305" s="41">
        <v>1</v>
      </c>
      <c r="H305" s="41">
        <v>27200</v>
      </c>
      <c r="I305" s="41">
        <v>0</v>
      </c>
      <c r="J305" s="41">
        <v>0</v>
      </c>
      <c r="K305" s="41">
        <v>26449</v>
      </c>
      <c r="L305" s="41" t="s">
        <v>808</v>
      </c>
      <c r="M305" s="41">
        <v>751</v>
      </c>
    </row>
    <row r="306" spans="1:13" x14ac:dyDescent="0.25">
      <c r="A306" s="40" t="s">
        <v>763</v>
      </c>
      <c r="B306" s="40" t="s">
        <v>764</v>
      </c>
      <c r="C306" s="40" t="s">
        <v>50</v>
      </c>
      <c r="D306" s="40" t="s">
        <v>809</v>
      </c>
      <c r="E306" s="40" t="s">
        <v>34</v>
      </c>
      <c r="F306" s="40" t="s">
        <v>810</v>
      </c>
      <c r="G306" s="41">
        <v>1</v>
      </c>
      <c r="H306" s="41">
        <v>32200</v>
      </c>
      <c r="I306" s="41">
        <v>0</v>
      </c>
      <c r="J306" s="41">
        <v>0</v>
      </c>
      <c r="K306" s="41">
        <v>31010</v>
      </c>
      <c r="L306" s="41" t="s">
        <v>811</v>
      </c>
      <c r="M306" s="41">
        <v>1190</v>
      </c>
    </row>
    <row r="307" spans="1:13" x14ac:dyDescent="0.25">
      <c r="A307" s="40" t="s">
        <v>763</v>
      </c>
      <c r="B307" s="40" t="s">
        <v>764</v>
      </c>
      <c r="C307" s="40" t="s">
        <v>50</v>
      </c>
      <c r="D307" s="40" t="s">
        <v>812</v>
      </c>
      <c r="E307" s="40" t="s">
        <v>34</v>
      </c>
      <c r="F307" s="40" t="s">
        <v>813</v>
      </c>
      <c r="G307" s="41">
        <v>1</v>
      </c>
      <c r="H307" s="41">
        <v>13500</v>
      </c>
      <c r="I307" s="41">
        <v>0</v>
      </c>
      <c r="J307" s="41">
        <v>0</v>
      </c>
      <c r="K307" s="41">
        <v>14175</v>
      </c>
      <c r="L307" s="41" t="s">
        <v>814</v>
      </c>
      <c r="M307" s="41">
        <v>-675</v>
      </c>
    </row>
    <row r="308" spans="1:13" x14ac:dyDescent="0.25">
      <c r="A308" s="40" t="s">
        <v>763</v>
      </c>
      <c r="B308" s="40" t="s">
        <v>764</v>
      </c>
      <c r="C308" s="40" t="s">
        <v>50</v>
      </c>
      <c r="D308" s="40" t="s">
        <v>815</v>
      </c>
      <c r="E308" s="40" t="s">
        <v>34</v>
      </c>
      <c r="F308" s="40" t="s">
        <v>800</v>
      </c>
      <c r="G308" s="41">
        <v>1</v>
      </c>
      <c r="H308" s="41">
        <v>19200</v>
      </c>
      <c r="I308" s="41">
        <v>0</v>
      </c>
      <c r="J308" s="41">
        <v>0</v>
      </c>
      <c r="K308" s="41">
        <v>18734</v>
      </c>
      <c r="L308" s="41" t="s">
        <v>816</v>
      </c>
      <c r="M308" s="41">
        <v>466</v>
      </c>
    </row>
    <row r="309" spans="1:13" x14ac:dyDescent="0.25">
      <c r="A309" s="40" t="s">
        <v>763</v>
      </c>
      <c r="B309" s="40" t="s">
        <v>764</v>
      </c>
      <c r="C309" s="40" t="s">
        <v>50</v>
      </c>
      <c r="D309" s="40" t="s">
        <v>817</v>
      </c>
      <c r="E309" s="40" t="s">
        <v>41</v>
      </c>
      <c r="F309" s="40" t="s">
        <v>818</v>
      </c>
      <c r="G309" s="41">
        <v>1</v>
      </c>
      <c r="H309" s="41">
        <v>10999</v>
      </c>
      <c r="I309" s="41">
        <v>0</v>
      </c>
      <c r="J309" s="41">
        <v>0</v>
      </c>
      <c r="K309" s="41">
        <v>10303</v>
      </c>
      <c r="L309" s="41" t="s">
        <v>819</v>
      </c>
      <c r="M309" s="41">
        <v>696</v>
      </c>
    </row>
    <row r="310" spans="1:13" x14ac:dyDescent="0.25">
      <c r="A310" s="40" t="s">
        <v>763</v>
      </c>
      <c r="B310" s="40" t="s">
        <v>764</v>
      </c>
      <c r="C310" s="40" t="s">
        <v>56</v>
      </c>
      <c r="D310" s="40" t="s">
        <v>820</v>
      </c>
      <c r="E310" s="40" t="s">
        <v>95</v>
      </c>
      <c r="F310" s="40" t="s">
        <v>821</v>
      </c>
      <c r="G310" s="41">
        <v>1</v>
      </c>
      <c r="H310" s="41">
        <v>19208</v>
      </c>
      <c r="I310" s="41">
        <v>0</v>
      </c>
      <c r="J310" s="41">
        <v>0</v>
      </c>
      <c r="K310" s="41">
        <v>18601</v>
      </c>
      <c r="L310" s="41" t="s">
        <v>822</v>
      </c>
      <c r="M310" s="41">
        <v>607</v>
      </c>
    </row>
    <row r="311" spans="1:13" x14ac:dyDescent="0.25">
      <c r="A311" s="40" t="s">
        <v>763</v>
      </c>
      <c r="B311" s="40" t="s">
        <v>764</v>
      </c>
      <c r="C311" s="40" t="s">
        <v>60</v>
      </c>
      <c r="D311" s="40" t="s">
        <v>823</v>
      </c>
      <c r="E311" s="40" t="s">
        <v>109</v>
      </c>
      <c r="F311" s="40" t="s">
        <v>304</v>
      </c>
      <c r="G311" s="41">
        <v>1</v>
      </c>
      <c r="H311" s="41">
        <v>14500</v>
      </c>
      <c r="I311" s="41">
        <v>0</v>
      </c>
      <c r="J311" s="41">
        <v>0</v>
      </c>
      <c r="K311" s="41">
        <v>14010</v>
      </c>
      <c r="L311" s="41" t="s">
        <v>824</v>
      </c>
      <c r="M311" s="41">
        <v>490</v>
      </c>
    </row>
    <row r="312" spans="1:13" x14ac:dyDescent="0.25">
      <c r="A312" s="40" t="s">
        <v>763</v>
      </c>
      <c r="B312" s="40" t="s">
        <v>764</v>
      </c>
      <c r="C312" s="40" t="s">
        <v>82</v>
      </c>
      <c r="D312" s="40" t="s">
        <v>825</v>
      </c>
      <c r="E312" s="40" t="s">
        <v>135</v>
      </c>
      <c r="F312" s="40" t="s">
        <v>826</v>
      </c>
      <c r="G312" s="41">
        <v>1</v>
      </c>
      <c r="H312" s="41">
        <v>12900</v>
      </c>
      <c r="I312" s="41">
        <v>0</v>
      </c>
      <c r="J312" s="41">
        <v>0</v>
      </c>
      <c r="K312" s="41">
        <v>12605</v>
      </c>
      <c r="L312" s="41" t="s">
        <v>827</v>
      </c>
      <c r="M312" s="41">
        <v>295</v>
      </c>
    </row>
    <row r="313" spans="1:13" x14ac:dyDescent="0.25">
      <c r="A313" s="40" t="s">
        <v>763</v>
      </c>
      <c r="B313" s="40" t="s">
        <v>764</v>
      </c>
      <c r="C313" s="40" t="s">
        <v>82</v>
      </c>
      <c r="D313" s="40" t="s">
        <v>828</v>
      </c>
      <c r="E313" s="40" t="s">
        <v>109</v>
      </c>
      <c r="F313" s="40" t="s">
        <v>829</v>
      </c>
      <c r="G313" s="41">
        <v>1</v>
      </c>
      <c r="H313" s="41">
        <v>7600</v>
      </c>
      <c r="I313" s="41">
        <v>0</v>
      </c>
      <c r="J313" s="41">
        <v>0</v>
      </c>
      <c r="K313" s="41">
        <v>7510</v>
      </c>
      <c r="L313" s="41" t="s">
        <v>830</v>
      </c>
      <c r="M313" s="41">
        <v>90</v>
      </c>
    </row>
    <row r="314" spans="1:13" x14ac:dyDescent="0.25">
      <c r="A314" s="40" t="s">
        <v>831</v>
      </c>
      <c r="B314" s="40" t="s">
        <v>764</v>
      </c>
      <c r="C314" s="40" t="s">
        <v>28</v>
      </c>
      <c r="D314" s="40" t="s">
        <v>832</v>
      </c>
      <c r="E314" s="40" t="s">
        <v>24</v>
      </c>
      <c r="F314" s="40" t="s">
        <v>833</v>
      </c>
      <c r="G314" s="41">
        <v>1</v>
      </c>
      <c r="H314" s="41">
        <v>24300</v>
      </c>
      <c r="I314" s="41">
        <v>0</v>
      </c>
      <c r="J314" s="41">
        <v>0</v>
      </c>
      <c r="K314" s="41">
        <v>24051</v>
      </c>
      <c r="L314" s="41" t="s">
        <v>834</v>
      </c>
      <c r="M314" s="41">
        <v>249</v>
      </c>
    </row>
    <row r="315" spans="1:13" x14ac:dyDescent="0.25">
      <c r="A315" s="40" t="s">
        <v>831</v>
      </c>
      <c r="B315" s="40" t="s">
        <v>764</v>
      </c>
      <c r="C315" s="40" t="s">
        <v>28</v>
      </c>
      <c r="D315" s="40" t="s">
        <v>835</v>
      </c>
      <c r="E315" s="40" t="s">
        <v>105</v>
      </c>
      <c r="F315" s="40" t="s">
        <v>99</v>
      </c>
      <c r="G315" s="41">
        <v>1</v>
      </c>
      <c r="H315" s="41">
        <v>26200</v>
      </c>
      <c r="I315" s="41">
        <v>0</v>
      </c>
      <c r="J315" s="41">
        <v>0</v>
      </c>
      <c r="K315" s="41">
        <v>25975</v>
      </c>
      <c r="L315" s="41" t="s">
        <v>836</v>
      </c>
      <c r="M315" s="41">
        <v>225</v>
      </c>
    </row>
    <row r="316" spans="1:13" x14ac:dyDescent="0.25">
      <c r="A316" s="40" t="s">
        <v>831</v>
      </c>
      <c r="B316" s="40" t="s">
        <v>764</v>
      </c>
      <c r="C316" s="40" t="s">
        <v>28</v>
      </c>
      <c r="D316" s="40" t="s">
        <v>837</v>
      </c>
      <c r="E316" s="40" t="s">
        <v>162</v>
      </c>
      <c r="F316" s="40" t="s">
        <v>430</v>
      </c>
      <c r="G316" s="41">
        <v>1</v>
      </c>
      <c r="H316" s="41">
        <v>18700</v>
      </c>
      <c r="I316" s="41">
        <v>0</v>
      </c>
      <c r="J316" s="41">
        <v>0</v>
      </c>
      <c r="K316" s="41">
        <v>18454</v>
      </c>
      <c r="L316" s="41" t="s">
        <v>838</v>
      </c>
      <c r="M316" s="41">
        <v>246</v>
      </c>
    </row>
    <row r="317" spans="1:13" x14ac:dyDescent="0.25">
      <c r="A317" s="40" t="s">
        <v>831</v>
      </c>
      <c r="B317" s="40" t="s">
        <v>764</v>
      </c>
      <c r="C317" s="40" t="s">
        <v>18</v>
      </c>
      <c r="D317" s="40" t="s">
        <v>839</v>
      </c>
      <c r="E317" s="40" t="s">
        <v>30</v>
      </c>
      <c r="F317" s="40" t="s">
        <v>840</v>
      </c>
      <c r="G317" s="41">
        <v>1</v>
      </c>
      <c r="H317" s="41">
        <v>2100</v>
      </c>
      <c r="I317" s="41">
        <v>0</v>
      </c>
      <c r="J317" s="41">
        <v>0</v>
      </c>
      <c r="K317" s="41">
        <v>2034</v>
      </c>
      <c r="L317" s="41" t="s">
        <v>841</v>
      </c>
      <c r="M317" s="41">
        <v>66</v>
      </c>
    </row>
    <row r="318" spans="1:13" x14ac:dyDescent="0.25">
      <c r="A318" s="40" t="s">
        <v>831</v>
      </c>
      <c r="B318" s="40" t="s">
        <v>764</v>
      </c>
      <c r="C318" s="40" t="s">
        <v>360</v>
      </c>
      <c r="D318" s="40" t="s">
        <v>842</v>
      </c>
      <c r="E318" s="40" t="s">
        <v>162</v>
      </c>
      <c r="F318" s="40" t="s">
        <v>843</v>
      </c>
      <c r="G318" s="41">
        <v>1</v>
      </c>
      <c r="H318" s="41">
        <v>28219</v>
      </c>
      <c r="I318" s="41">
        <v>0</v>
      </c>
      <c r="J318" s="41">
        <v>0</v>
      </c>
      <c r="K318" s="41">
        <v>27506</v>
      </c>
      <c r="L318" s="41" t="s">
        <v>844</v>
      </c>
      <c r="M318" s="41">
        <v>713</v>
      </c>
    </row>
    <row r="319" spans="1:13" x14ac:dyDescent="0.25">
      <c r="A319" s="40" t="s">
        <v>831</v>
      </c>
      <c r="B319" s="40" t="s">
        <v>764</v>
      </c>
      <c r="C319" s="40" t="s">
        <v>50</v>
      </c>
      <c r="D319" s="40" t="s">
        <v>845</v>
      </c>
      <c r="E319" s="40" t="s">
        <v>34</v>
      </c>
      <c r="F319" s="40" t="s">
        <v>818</v>
      </c>
      <c r="G319" s="41">
        <v>1</v>
      </c>
      <c r="H319" s="41">
        <v>10999</v>
      </c>
      <c r="I319" s="41">
        <v>0</v>
      </c>
      <c r="J319" s="41">
        <v>0</v>
      </c>
      <c r="K319" s="41">
        <v>10303</v>
      </c>
      <c r="L319" s="41" t="s">
        <v>846</v>
      </c>
      <c r="M319" s="41">
        <v>696</v>
      </c>
    </row>
    <row r="320" spans="1:13" x14ac:dyDescent="0.25">
      <c r="A320" s="40" t="s">
        <v>831</v>
      </c>
      <c r="B320" s="40" t="s">
        <v>764</v>
      </c>
      <c r="C320" s="40" t="s">
        <v>114</v>
      </c>
      <c r="D320" s="40" t="s">
        <v>847</v>
      </c>
      <c r="E320" s="40" t="s">
        <v>24</v>
      </c>
      <c r="F320" s="40" t="s">
        <v>848</v>
      </c>
      <c r="G320" s="41">
        <v>1</v>
      </c>
      <c r="H320" s="41">
        <v>17700</v>
      </c>
      <c r="I320" s="41">
        <v>0</v>
      </c>
      <c r="J320" s="41">
        <v>0</v>
      </c>
      <c r="K320" s="41">
        <v>16245</v>
      </c>
      <c r="L320" s="41" t="s">
        <v>849</v>
      </c>
      <c r="M320" s="41">
        <v>1455</v>
      </c>
    </row>
    <row r="321" spans="1:13" x14ac:dyDescent="0.25">
      <c r="A321" s="40" t="s">
        <v>831</v>
      </c>
      <c r="B321" s="40" t="s">
        <v>764</v>
      </c>
      <c r="C321" s="40" t="s">
        <v>114</v>
      </c>
      <c r="D321" s="40" t="s">
        <v>850</v>
      </c>
      <c r="E321" s="40" t="s">
        <v>135</v>
      </c>
      <c r="F321" s="40" t="s">
        <v>121</v>
      </c>
      <c r="G321" s="41">
        <v>1</v>
      </c>
      <c r="H321" s="41">
        <v>39000</v>
      </c>
      <c r="I321" s="41">
        <v>0</v>
      </c>
      <c r="J321" s="41">
        <v>0</v>
      </c>
      <c r="K321" s="41">
        <v>37518</v>
      </c>
      <c r="L321" s="41" t="s">
        <v>851</v>
      </c>
      <c r="M321" s="41">
        <v>1482</v>
      </c>
    </row>
    <row r="322" spans="1:13" x14ac:dyDescent="0.25">
      <c r="A322" s="40" t="s">
        <v>831</v>
      </c>
      <c r="B322" s="40" t="s">
        <v>764</v>
      </c>
      <c r="C322" s="40" t="s">
        <v>114</v>
      </c>
      <c r="D322" s="40" t="s">
        <v>852</v>
      </c>
      <c r="E322" s="40" t="s">
        <v>45</v>
      </c>
      <c r="F322" s="40" t="s">
        <v>853</v>
      </c>
      <c r="G322" s="41">
        <v>1</v>
      </c>
      <c r="H322" s="41">
        <v>15499</v>
      </c>
      <c r="I322" s="41">
        <v>0</v>
      </c>
      <c r="J322" s="41">
        <v>0</v>
      </c>
      <c r="K322" s="41">
        <v>13989</v>
      </c>
      <c r="L322" s="41" t="s">
        <v>854</v>
      </c>
      <c r="M322" s="41">
        <v>1510</v>
      </c>
    </row>
    <row r="323" spans="1:13" x14ac:dyDescent="0.25">
      <c r="A323" s="40" t="s">
        <v>831</v>
      </c>
      <c r="B323" s="40" t="s">
        <v>764</v>
      </c>
      <c r="C323" s="40" t="s">
        <v>60</v>
      </c>
      <c r="D323" s="40" t="s">
        <v>855</v>
      </c>
      <c r="E323" s="40" t="s">
        <v>15</v>
      </c>
      <c r="F323" s="40" t="s">
        <v>856</v>
      </c>
      <c r="G323" s="41">
        <v>1</v>
      </c>
      <c r="H323" s="41">
        <v>20300</v>
      </c>
      <c r="I323" s="41">
        <v>0</v>
      </c>
      <c r="J323" s="41">
        <v>0</v>
      </c>
      <c r="K323" s="41">
        <v>19370</v>
      </c>
      <c r="L323" s="41" t="s">
        <v>857</v>
      </c>
      <c r="M323" s="41">
        <v>930</v>
      </c>
    </row>
    <row r="324" spans="1:13" x14ac:dyDescent="0.25">
      <c r="A324" s="40" t="s">
        <v>831</v>
      </c>
      <c r="B324" s="40" t="s">
        <v>764</v>
      </c>
      <c r="C324" s="40" t="s">
        <v>60</v>
      </c>
      <c r="D324" s="40" t="s">
        <v>858</v>
      </c>
      <c r="E324" s="40" t="s">
        <v>24</v>
      </c>
      <c r="F324" s="40" t="s">
        <v>859</v>
      </c>
      <c r="G324" s="41">
        <v>1</v>
      </c>
      <c r="H324" s="41">
        <v>59000</v>
      </c>
      <c r="I324" s="41">
        <v>0</v>
      </c>
      <c r="J324" s="41">
        <v>0</v>
      </c>
      <c r="K324" s="41">
        <v>57854</v>
      </c>
      <c r="L324" s="41" t="s">
        <v>860</v>
      </c>
      <c r="M324" s="41">
        <v>1146</v>
      </c>
    </row>
    <row r="325" spans="1:13" x14ac:dyDescent="0.25">
      <c r="A325" s="40" t="s">
        <v>831</v>
      </c>
      <c r="B325" s="40" t="s">
        <v>764</v>
      </c>
      <c r="C325" s="40" t="s">
        <v>60</v>
      </c>
      <c r="D325" s="40" t="s">
        <v>861</v>
      </c>
      <c r="E325" s="40" t="s">
        <v>105</v>
      </c>
      <c r="F325" s="40" t="s">
        <v>80</v>
      </c>
      <c r="G325" s="41">
        <v>1</v>
      </c>
      <c r="H325" s="41">
        <v>24000</v>
      </c>
      <c r="I325" s="41">
        <v>0</v>
      </c>
      <c r="J325" s="41">
        <v>0</v>
      </c>
      <c r="K325" s="41">
        <v>23147</v>
      </c>
      <c r="L325" s="41" t="s">
        <v>862</v>
      </c>
      <c r="M325" s="41">
        <v>853</v>
      </c>
    </row>
    <row r="326" spans="1:13" x14ac:dyDescent="0.25">
      <c r="A326" s="40" t="s">
        <v>831</v>
      </c>
      <c r="B326" s="40" t="s">
        <v>764</v>
      </c>
      <c r="C326" s="40" t="s">
        <v>60</v>
      </c>
      <c r="D326" s="40" t="s">
        <v>863</v>
      </c>
      <c r="E326" s="40" t="s">
        <v>109</v>
      </c>
      <c r="F326" s="40" t="s">
        <v>329</v>
      </c>
      <c r="G326" s="41">
        <v>1</v>
      </c>
      <c r="H326" s="41">
        <v>24999</v>
      </c>
      <c r="I326" s="41">
        <v>0</v>
      </c>
      <c r="J326" s="41">
        <v>0</v>
      </c>
      <c r="K326" s="41">
        <v>23147</v>
      </c>
      <c r="L326" s="41" t="s">
        <v>864</v>
      </c>
      <c r="M326" s="41">
        <v>1852</v>
      </c>
    </row>
    <row r="327" spans="1:13" x14ac:dyDescent="0.25">
      <c r="A327" s="40" t="s">
        <v>831</v>
      </c>
      <c r="B327" s="40" t="s">
        <v>764</v>
      </c>
      <c r="C327" s="40" t="s">
        <v>60</v>
      </c>
      <c r="D327" s="40" t="s">
        <v>865</v>
      </c>
      <c r="E327" s="40" t="s">
        <v>109</v>
      </c>
      <c r="F327" s="40" t="s">
        <v>329</v>
      </c>
      <c r="G327" s="41">
        <v>1</v>
      </c>
      <c r="H327" s="41">
        <v>24000</v>
      </c>
      <c r="I327" s="41">
        <v>0</v>
      </c>
      <c r="J327" s="41">
        <v>0</v>
      </c>
      <c r="K327" s="41">
        <v>23147</v>
      </c>
      <c r="L327" s="41" t="s">
        <v>866</v>
      </c>
      <c r="M327" s="41">
        <v>853</v>
      </c>
    </row>
    <row r="328" spans="1:13" x14ac:dyDescent="0.25">
      <c r="A328" s="40" t="s">
        <v>831</v>
      </c>
      <c r="B328" s="40" t="s">
        <v>764</v>
      </c>
      <c r="C328" s="40" t="s">
        <v>60</v>
      </c>
      <c r="D328" s="40" t="s">
        <v>867</v>
      </c>
      <c r="E328" s="40" t="s">
        <v>30</v>
      </c>
      <c r="F328" s="40" t="s">
        <v>868</v>
      </c>
      <c r="G328" s="41">
        <v>1</v>
      </c>
      <c r="H328" s="41">
        <v>35800</v>
      </c>
      <c r="I328" s="41">
        <v>0</v>
      </c>
      <c r="J328" s="41">
        <v>0</v>
      </c>
      <c r="K328" s="41">
        <v>35123</v>
      </c>
      <c r="L328" s="41" t="s">
        <v>869</v>
      </c>
      <c r="M328" s="41">
        <v>677</v>
      </c>
    </row>
    <row r="329" spans="1:13" x14ac:dyDescent="0.25">
      <c r="A329" s="40" t="s">
        <v>831</v>
      </c>
      <c r="B329" s="40" t="s">
        <v>764</v>
      </c>
      <c r="C329" s="40" t="s">
        <v>60</v>
      </c>
      <c r="D329" s="40" t="s">
        <v>870</v>
      </c>
      <c r="E329" s="40" t="s">
        <v>34</v>
      </c>
      <c r="F329" s="40" t="s">
        <v>329</v>
      </c>
      <c r="G329" s="41">
        <v>1</v>
      </c>
      <c r="H329" s="41">
        <v>24500</v>
      </c>
      <c r="I329" s="41">
        <v>0</v>
      </c>
      <c r="J329" s="41">
        <v>0</v>
      </c>
      <c r="K329" s="41">
        <v>23147</v>
      </c>
      <c r="L329" s="41" t="s">
        <v>871</v>
      </c>
      <c r="M329" s="41">
        <v>1353</v>
      </c>
    </row>
    <row r="330" spans="1:13" x14ac:dyDescent="0.25">
      <c r="A330" s="40" t="s">
        <v>831</v>
      </c>
      <c r="B330" s="40" t="s">
        <v>764</v>
      </c>
      <c r="C330" s="40" t="s">
        <v>60</v>
      </c>
      <c r="D330" s="40" t="s">
        <v>872</v>
      </c>
      <c r="E330" s="40" t="s">
        <v>41</v>
      </c>
      <c r="F330" s="40" t="s">
        <v>77</v>
      </c>
      <c r="G330" s="41">
        <v>1</v>
      </c>
      <c r="H330" s="41">
        <v>41500</v>
      </c>
      <c r="I330" s="41">
        <v>0</v>
      </c>
      <c r="J330" s="41">
        <v>0</v>
      </c>
      <c r="K330" s="41">
        <v>41355</v>
      </c>
      <c r="L330" s="41" t="s">
        <v>873</v>
      </c>
      <c r="M330" s="41">
        <v>145</v>
      </c>
    </row>
    <row r="331" spans="1:13" x14ac:dyDescent="0.25">
      <c r="A331" s="40" t="s">
        <v>874</v>
      </c>
      <c r="B331" s="40" t="s">
        <v>764</v>
      </c>
      <c r="C331" s="40" t="s">
        <v>609</v>
      </c>
      <c r="D331" s="40" t="s">
        <v>875</v>
      </c>
      <c r="E331" s="40" t="s">
        <v>162</v>
      </c>
      <c r="F331" s="40" t="s">
        <v>876</v>
      </c>
      <c r="G331" s="41">
        <v>1</v>
      </c>
      <c r="H331" s="41">
        <v>1750</v>
      </c>
      <c r="I331" s="41">
        <v>0</v>
      </c>
      <c r="J331" s="41">
        <v>0</v>
      </c>
      <c r="K331" s="41">
        <v>1129</v>
      </c>
      <c r="L331" s="41" t="s">
        <v>877</v>
      </c>
      <c r="M331" s="41">
        <v>621</v>
      </c>
    </row>
    <row r="332" spans="1:13" x14ac:dyDescent="0.25">
      <c r="A332" s="40" t="s">
        <v>874</v>
      </c>
      <c r="B332" s="40" t="s">
        <v>764</v>
      </c>
      <c r="C332" s="40" t="s">
        <v>360</v>
      </c>
      <c r="D332" s="40" t="s">
        <v>878</v>
      </c>
      <c r="E332" s="40" t="s">
        <v>15</v>
      </c>
      <c r="F332" s="40" t="s">
        <v>737</v>
      </c>
      <c r="G332" s="41">
        <v>1</v>
      </c>
      <c r="H332" s="41">
        <v>25500</v>
      </c>
      <c r="I332" s="41">
        <v>0</v>
      </c>
      <c r="J332" s="41">
        <v>0</v>
      </c>
      <c r="K332" s="41">
        <v>25201</v>
      </c>
      <c r="L332" s="41" t="s">
        <v>879</v>
      </c>
      <c r="M332" s="41">
        <v>299</v>
      </c>
    </row>
    <row r="333" spans="1:13" x14ac:dyDescent="0.25">
      <c r="A333" s="40" t="s">
        <v>874</v>
      </c>
      <c r="B333" s="40" t="s">
        <v>764</v>
      </c>
      <c r="C333" s="40" t="s">
        <v>360</v>
      </c>
      <c r="D333" s="40" t="s">
        <v>880</v>
      </c>
      <c r="E333" s="40" t="s">
        <v>15</v>
      </c>
      <c r="F333" s="40" t="s">
        <v>881</v>
      </c>
      <c r="G333" s="41">
        <v>1</v>
      </c>
      <c r="H333" s="41">
        <v>19528</v>
      </c>
      <c r="I333" s="41">
        <v>0</v>
      </c>
      <c r="J333" s="41">
        <v>0</v>
      </c>
      <c r="K333" s="41">
        <v>19297</v>
      </c>
      <c r="L333" s="41" t="s">
        <v>882</v>
      </c>
      <c r="M333" s="41">
        <v>231</v>
      </c>
    </row>
    <row r="334" spans="1:13" x14ac:dyDescent="0.25">
      <c r="A334" s="40" t="s">
        <v>874</v>
      </c>
      <c r="B334" s="40" t="s">
        <v>764</v>
      </c>
      <c r="C334" s="40" t="s">
        <v>360</v>
      </c>
      <c r="D334" s="40" t="s">
        <v>883</v>
      </c>
      <c r="E334" s="40" t="s">
        <v>15</v>
      </c>
      <c r="F334" s="40" t="s">
        <v>884</v>
      </c>
      <c r="G334" s="41">
        <v>1</v>
      </c>
      <c r="H334" s="41">
        <v>18999</v>
      </c>
      <c r="I334" s="41">
        <v>0</v>
      </c>
      <c r="J334" s="41">
        <v>0</v>
      </c>
      <c r="K334" s="41">
        <v>17773</v>
      </c>
      <c r="L334" s="41" t="s">
        <v>885</v>
      </c>
      <c r="M334" s="41">
        <v>1226</v>
      </c>
    </row>
    <row r="335" spans="1:13" x14ac:dyDescent="0.25">
      <c r="A335" s="40" t="s">
        <v>874</v>
      </c>
      <c r="B335" s="40" t="s">
        <v>764</v>
      </c>
      <c r="C335" s="40" t="s">
        <v>360</v>
      </c>
      <c r="D335" s="40" t="s">
        <v>886</v>
      </c>
      <c r="E335" s="40" t="s">
        <v>95</v>
      </c>
      <c r="F335" s="40" t="s">
        <v>362</v>
      </c>
      <c r="G335" s="41">
        <v>1</v>
      </c>
      <c r="H335" s="41">
        <v>36985</v>
      </c>
      <c r="I335" s="41">
        <v>0</v>
      </c>
      <c r="J335" s="41">
        <v>0</v>
      </c>
      <c r="K335" s="41">
        <v>34840</v>
      </c>
      <c r="L335" s="41" t="s">
        <v>887</v>
      </c>
      <c r="M335" s="41">
        <v>2145</v>
      </c>
    </row>
    <row r="336" spans="1:13" x14ac:dyDescent="0.25">
      <c r="A336" s="40" t="s">
        <v>874</v>
      </c>
      <c r="B336" s="40" t="s">
        <v>764</v>
      </c>
      <c r="C336" s="40" t="s">
        <v>360</v>
      </c>
      <c r="D336" s="40" t="s">
        <v>888</v>
      </c>
      <c r="E336" s="40" t="s">
        <v>135</v>
      </c>
      <c r="F336" s="40" t="s">
        <v>889</v>
      </c>
      <c r="G336" s="41">
        <v>1</v>
      </c>
      <c r="H336" s="41">
        <v>25000</v>
      </c>
      <c r="I336" s="41">
        <v>0</v>
      </c>
      <c r="J336" s="41">
        <v>0</v>
      </c>
      <c r="K336" s="41">
        <v>24107</v>
      </c>
      <c r="L336" s="41" t="s">
        <v>890</v>
      </c>
      <c r="M336" s="41">
        <v>893</v>
      </c>
    </row>
    <row r="337" spans="1:13" x14ac:dyDescent="0.25">
      <c r="A337" s="40" t="s">
        <v>874</v>
      </c>
      <c r="B337" s="40" t="s">
        <v>764</v>
      </c>
      <c r="C337" s="40" t="s">
        <v>360</v>
      </c>
      <c r="D337" s="40" t="s">
        <v>891</v>
      </c>
      <c r="E337" s="40" t="s">
        <v>105</v>
      </c>
      <c r="F337" s="40" t="s">
        <v>892</v>
      </c>
      <c r="G337" s="41">
        <v>1</v>
      </c>
      <c r="H337" s="41">
        <v>18000</v>
      </c>
      <c r="I337" s="41">
        <v>0</v>
      </c>
      <c r="J337" s="41">
        <v>0</v>
      </c>
      <c r="K337" s="41">
        <v>18028</v>
      </c>
      <c r="L337" s="41" t="s">
        <v>893</v>
      </c>
      <c r="M337" s="41">
        <v>-28</v>
      </c>
    </row>
    <row r="338" spans="1:13" x14ac:dyDescent="0.25">
      <c r="A338" s="40" t="s">
        <v>874</v>
      </c>
      <c r="B338" s="40" t="s">
        <v>764</v>
      </c>
      <c r="C338" s="40" t="s">
        <v>360</v>
      </c>
      <c r="D338" s="40" t="s">
        <v>894</v>
      </c>
      <c r="E338" s="40" t="s">
        <v>109</v>
      </c>
      <c r="F338" s="40" t="s">
        <v>895</v>
      </c>
      <c r="G338" s="41">
        <v>1</v>
      </c>
      <c r="H338" s="41">
        <v>18300</v>
      </c>
      <c r="I338" s="41">
        <v>0</v>
      </c>
      <c r="J338" s="41">
        <v>0</v>
      </c>
      <c r="K338" s="41">
        <v>18028</v>
      </c>
      <c r="L338" s="41" t="s">
        <v>896</v>
      </c>
      <c r="M338" s="41">
        <v>272</v>
      </c>
    </row>
    <row r="339" spans="1:13" x14ac:dyDescent="0.25">
      <c r="A339" s="40" t="s">
        <v>874</v>
      </c>
      <c r="B339" s="40" t="s">
        <v>764</v>
      </c>
      <c r="C339" s="40" t="s">
        <v>360</v>
      </c>
      <c r="D339" s="40" t="s">
        <v>897</v>
      </c>
      <c r="E339" s="40" t="s">
        <v>109</v>
      </c>
      <c r="F339" s="40" t="s">
        <v>740</v>
      </c>
      <c r="G339" s="41">
        <v>1</v>
      </c>
      <c r="H339" s="41">
        <v>28999</v>
      </c>
      <c r="I339" s="41">
        <v>0</v>
      </c>
      <c r="J339" s="41">
        <v>0</v>
      </c>
      <c r="K339" s="41">
        <v>27068</v>
      </c>
      <c r="L339" s="41" t="s">
        <v>898</v>
      </c>
      <c r="M339" s="41">
        <v>1931</v>
      </c>
    </row>
    <row r="340" spans="1:13" x14ac:dyDescent="0.25">
      <c r="A340" s="40" t="s">
        <v>874</v>
      </c>
      <c r="B340" s="40" t="s">
        <v>764</v>
      </c>
      <c r="C340" s="40" t="s">
        <v>360</v>
      </c>
      <c r="D340" s="40" t="s">
        <v>899</v>
      </c>
      <c r="E340" s="40" t="s">
        <v>162</v>
      </c>
      <c r="F340" s="40" t="s">
        <v>900</v>
      </c>
      <c r="G340" s="41">
        <v>1</v>
      </c>
      <c r="H340" s="41">
        <v>34600</v>
      </c>
      <c r="I340" s="41">
        <v>0</v>
      </c>
      <c r="J340" s="41">
        <v>0</v>
      </c>
      <c r="K340" s="41">
        <v>32163</v>
      </c>
      <c r="L340" s="41" t="s">
        <v>901</v>
      </c>
      <c r="M340" s="41">
        <v>2437</v>
      </c>
    </row>
    <row r="341" spans="1:13" x14ac:dyDescent="0.25">
      <c r="A341" s="40" t="s">
        <v>874</v>
      </c>
      <c r="B341" s="40" t="s">
        <v>764</v>
      </c>
      <c r="C341" s="40" t="s">
        <v>360</v>
      </c>
      <c r="D341" s="40" t="s">
        <v>902</v>
      </c>
      <c r="E341" s="40" t="s">
        <v>162</v>
      </c>
      <c r="F341" s="40" t="s">
        <v>903</v>
      </c>
      <c r="G341" s="41">
        <v>1</v>
      </c>
      <c r="H341" s="41">
        <v>27113</v>
      </c>
      <c r="I341" s="41">
        <v>0</v>
      </c>
      <c r="J341" s="41">
        <v>0</v>
      </c>
      <c r="K341" s="41">
        <v>26649</v>
      </c>
      <c r="L341" s="41" t="s">
        <v>904</v>
      </c>
      <c r="M341" s="41">
        <v>464</v>
      </c>
    </row>
    <row r="342" spans="1:13" x14ac:dyDescent="0.25">
      <c r="A342" s="40" t="s">
        <v>874</v>
      </c>
      <c r="B342" s="40" t="s">
        <v>764</v>
      </c>
      <c r="C342" s="40" t="s">
        <v>360</v>
      </c>
      <c r="D342" s="40" t="s">
        <v>905</v>
      </c>
      <c r="E342" s="40" t="s">
        <v>30</v>
      </c>
      <c r="F342" s="40" t="s">
        <v>362</v>
      </c>
      <c r="G342" s="41">
        <v>1</v>
      </c>
      <c r="H342" s="41">
        <v>36715</v>
      </c>
      <c r="I342" s="41">
        <v>0</v>
      </c>
      <c r="J342" s="41">
        <v>0</v>
      </c>
      <c r="K342" s="41">
        <v>34683</v>
      </c>
      <c r="L342" s="41" t="s">
        <v>906</v>
      </c>
      <c r="M342" s="41">
        <v>2032</v>
      </c>
    </row>
    <row r="343" spans="1:13" x14ac:dyDescent="0.25">
      <c r="A343" s="40" t="s">
        <v>874</v>
      </c>
      <c r="B343" s="40" t="s">
        <v>764</v>
      </c>
      <c r="C343" s="40" t="s">
        <v>360</v>
      </c>
      <c r="D343" s="40" t="s">
        <v>907</v>
      </c>
      <c r="E343" s="40" t="s">
        <v>34</v>
      </c>
      <c r="F343" s="40" t="s">
        <v>554</v>
      </c>
      <c r="G343" s="41">
        <v>1</v>
      </c>
      <c r="H343" s="41">
        <v>59164</v>
      </c>
      <c r="I343" s="41">
        <v>0</v>
      </c>
      <c r="J343" s="41">
        <v>0</v>
      </c>
      <c r="K343" s="41">
        <v>54764</v>
      </c>
      <c r="L343" s="41" t="s">
        <v>908</v>
      </c>
      <c r="M343" s="41">
        <v>4400</v>
      </c>
    </row>
    <row r="344" spans="1:13" x14ac:dyDescent="0.25">
      <c r="A344" s="40" t="s">
        <v>874</v>
      </c>
      <c r="B344" s="40" t="s">
        <v>764</v>
      </c>
      <c r="C344" s="40" t="s">
        <v>360</v>
      </c>
      <c r="D344" s="40" t="s">
        <v>909</v>
      </c>
      <c r="E344" s="40" t="s">
        <v>41</v>
      </c>
      <c r="F344" s="40" t="s">
        <v>910</v>
      </c>
      <c r="G344" s="41">
        <v>1</v>
      </c>
      <c r="H344" s="41">
        <v>16700</v>
      </c>
      <c r="I344" s="41">
        <v>0</v>
      </c>
      <c r="J344" s="41">
        <v>0</v>
      </c>
      <c r="K344" s="41">
        <v>16007</v>
      </c>
      <c r="L344" s="41" t="s">
        <v>911</v>
      </c>
      <c r="M344" s="41">
        <v>693</v>
      </c>
    </row>
    <row r="345" spans="1:13" x14ac:dyDescent="0.25">
      <c r="A345" s="40" t="s">
        <v>874</v>
      </c>
      <c r="B345" s="40" t="s">
        <v>764</v>
      </c>
      <c r="C345" s="40" t="s">
        <v>360</v>
      </c>
      <c r="D345" s="40" t="s">
        <v>912</v>
      </c>
      <c r="E345" s="40" t="s">
        <v>45</v>
      </c>
      <c r="F345" s="40" t="s">
        <v>750</v>
      </c>
      <c r="G345" s="41">
        <v>1</v>
      </c>
      <c r="H345" s="41">
        <v>26756</v>
      </c>
      <c r="I345" s="41">
        <v>0</v>
      </c>
      <c r="J345" s="41">
        <v>0</v>
      </c>
      <c r="K345" s="41">
        <v>25729</v>
      </c>
      <c r="L345" s="41" t="s">
        <v>913</v>
      </c>
      <c r="M345" s="41">
        <v>1027</v>
      </c>
    </row>
    <row r="346" spans="1:13" x14ac:dyDescent="0.25">
      <c r="A346" s="40" t="s">
        <v>874</v>
      </c>
      <c r="B346" s="40" t="s">
        <v>764</v>
      </c>
      <c r="C346" s="40" t="s">
        <v>60</v>
      </c>
      <c r="D346" s="40" t="s">
        <v>914</v>
      </c>
      <c r="E346" s="40" t="s">
        <v>135</v>
      </c>
      <c r="F346" s="40" t="s">
        <v>62</v>
      </c>
      <c r="G346" s="41">
        <v>1</v>
      </c>
      <c r="H346" s="41">
        <v>16999</v>
      </c>
      <c r="I346" s="41">
        <v>0</v>
      </c>
      <c r="J346" s="41">
        <v>0</v>
      </c>
      <c r="K346" s="41">
        <v>15847</v>
      </c>
      <c r="L346" s="41" t="s">
        <v>915</v>
      </c>
      <c r="M346" s="41">
        <v>1152</v>
      </c>
    </row>
    <row r="347" spans="1:13" x14ac:dyDescent="0.25">
      <c r="A347" s="40" t="s">
        <v>916</v>
      </c>
      <c r="B347" s="40" t="s">
        <v>764</v>
      </c>
      <c r="C347" s="40" t="s">
        <v>28</v>
      </c>
      <c r="D347" s="40" t="s">
        <v>917</v>
      </c>
      <c r="E347" s="40" t="s">
        <v>24</v>
      </c>
      <c r="F347" s="40" t="s">
        <v>918</v>
      </c>
      <c r="G347" s="41">
        <v>1</v>
      </c>
      <c r="H347" s="41">
        <v>33999</v>
      </c>
      <c r="I347" s="41">
        <v>0</v>
      </c>
      <c r="J347" s="41">
        <v>0</v>
      </c>
      <c r="K347" s="41">
        <v>32710</v>
      </c>
      <c r="L347" s="41" t="s">
        <v>919</v>
      </c>
      <c r="M347" s="41">
        <v>1289</v>
      </c>
    </row>
    <row r="348" spans="1:13" x14ac:dyDescent="0.25">
      <c r="A348" s="40" t="s">
        <v>916</v>
      </c>
      <c r="B348" s="40" t="s">
        <v>764</v>
      </c>
      <c r="C348" s="40" t="s">
        <v>28</v>
      </c>
      <c r="D348" s="40" t="s">
        <v>920</v>
      </c>
      <c r="E348" s="40" t="s">
        <v>162</v>
      </c>
      <c r="F348" s="40" t="s">
        <v>102</v>
      </c>
      <c r="G348" s="41">
        <v>1</v>
      </c>
      <c r="H348" s="41">
        <v>26700</v>
      </c>
      <c r="I348" s="41">
        <v>0</v>
      </c>
      <c r="J348" s="41">
        <v>0</v>
      </c>
      <c r="K348" s="41">
        <v>25975</v>
      </c>
      <c r="L348" s="41" t="s">
        <v>921</v>
      </c>
      <c r="M348" s="41">
        <v>725</v>
      </c>
    </row>
    <row r="349" spans="1:13" x14ac:dyDescent="0.25">
      <c r="A349" s="40" t="s">
        <v>916</v>
      </c>
      <c r="B349" s="40" t="s">
        <v>764</v>
      </c>
      <c r="C349" s="40" t="s">
        <v>527</v>
      </c>
      <c r="D349" s="40" t="s">
        <v>922</v>
      </c>
      <c r="E349" s="40" t="s">
        <v>105</v>
      </c>
      <c r="F349" s="40" t="s">
        <v>648</v>
      </c>
      <c r="G349" s="41">
        <v>1</v>
      </c>
      <c r="H349" s="41">
        <v>39600</v>
      </c>
      <c r="I349" s="41">
        <v>0</v>
      </c>
      <c r="J349" s="41">
        <v>0</v>
      </c>
      <c r="K349" s="41">
        <v>37944</v>
      </c>
      <c r="L349" s="41" t="s">
        <v>923</v>
      </c>
      <c r="M349" s="41">
        <v>1656</v>
      </c>
    </row>
    <row r="350" spans="1:13" x14ac:dyDescent="0.25">
      <c r="A350" s="40" t="s">
        <v>916</v>
      </c>
      <c r="B350" s="40" t="s">
        <v>764</v>
      </c>
      <c r="C350" s="40" t="s">
        <v>22</v>
      </c>
      <c r="D350" s="40" t="s">
        <v>924</v>
      </c>
      <c r="E350" s="40" t="s">
        <v>109</v>
      </c>
      <c r="F350" s="40" t="s">
        <v>925</v>
      </c>
      <c r="G350" s="41">
        <v>1</v>
      </c>
      <c r="H350" s="41">
        <v>78500</v>
      </c>
      <c r="I350" s="41">
        <v>0</v>
      </c>
      <c r="J350" s="41">
        <v>0</v>
      </c>
      <c r="K350" s="41">
        <v>77139</v>
      </c>
      <c r="L350" s="41" t="s">
        <v>926</v>
      </c>
      <c r="M350" s="41">
        <v>1361</v>
      </c>
    </row>
    <row r="351" spans="1:13" x14ac:dyDescent="0.25">
      <c r="A351" s="40" t="s">
        <v>916</v>
      </c>
      <c r="B351" s="40" t="s">
        <v>764</v>
      </c>
      <c r="C351" s="40" t="s">
        <v>360</v>
      </c>
      <c r="D351" s="40" t="s">
        <v>927</v>
      </c>
      <c r="E351" s="40" t="s">
        <v>15</v>
      </c>
      <c r="F351" s="40" t="s">
        <v>892</v>
      </c>
      <c r="G351" s="41">
        <v>1</v>
      </c>
      <c r="H351" s="41">
        <v>16500</v>
      </c>
      <c r="I351" s="41">
        <v>0</v>
      </c>
      <c r="J351" s="41">
        <v>0</v>
      </c>
      <c r="K351" s="41">
        <v>16130</v>
      </c>
      <c r="L351" s="41" t="s">
        <v>928</v>
      </c>
      <c r="M351" s="41">
        <v>370</v>
      </c>
    </row>
    <row r="352" spans="1:13" x14ac:dyDescent="0.25">
      <c r="A352" s="40" t="s">
        <v>916</v>
      </c>
      <c r="B352" s="40" t="s">
        <v>764</v>
      </c>
      <c r="C352" s="40" t="s">
        <v>360</v>
      </c>
      <c r="D352" s="40" t="s">
        <v>929</v>
      </c>
      <c r="E352" s="40" t="s">
        <v>24</v>
      </c>
      <c r="F352" s="40" t="s">
        <v>930</v>
      </c>
      <c r="G352" s="41">
        <v>1</v>
      </c>
      <c r="H352" s="41">
        <v>20700</v>
      </c>
      <c r="I352" s="41">
        <v>0</v>
      </c>
      <c r="J352" s="41">
        <v>0</v>
      </c>
      <c r="K352" s="41">
        <v>20580</v>
      </c>
      <c r="L352" s="41" t="s">
        <v>931</v>
      </c>
      <c r="M352" s="41">
        <v>120</v>
      </c>
    </row>
    <row r="353" spans="1:13" x14ac:dyDescent="0.25">
      <c r="A353" s="40" t="s">
        <v>916</v>
      </c>
      <c r="B353" s="40" t="s">
        <v>764</v>
      </c>
      <c r="C353" s="40" t="s">
        <v>360</v>
      </c>
      <c r="D353" s="40" t="s">
        <v>932</v>
      </c>
      <c r="E353" s="40" t="s">
        <v>95</v>
      </c>
      <c r="F353" s="40" t="s">
        <v>740</v>
      </c>
      <c r="G353" s="41">
        <v>1</v>
      </c>
      <c r="H353" s="41">
        <v>28999</v>
      </c>
      <c r="I353" s="41">
        <v>0</v>
      </c>
      <c r="J353" s="41">
        <v>0</v>
      </c>
      <c r="K353" s="41">
        <v>27068</v>
      </c>
      <c r="L353" s="41" t="s">
        <v>933</v>
      </c>
      <c r="M353" s="41">
        <v>1931</v>
      </c>
    </row>
    <row r="354" spans="1:13" x14ac:dyDescent="0.25">
      <c r="A354" s="40" t="s">
        <v>916</v>
      </c>
      <c r="B354" s="40" t="s">
        <v>764</v>
      </c>
      <c r="C354" s="40" t="s">
        <v>360</v>
      </c>
      <c r="D354" s="40" t="s">
        <v>934</v>
      </c>
      <c r="E354" s="40" t="s">
        <v>34</v>
      </c>
      <c r="F354" s="40" t="s">
        <v>362</v>
      </c>
      <c r="G354" s="41">
        <v>1</v>
      </c>
      <c r="H354" s="41">
        <v>37850</v>
      </c>
      <c r="I354" s="41">
        <v>0</v>
      </c>
      <c r="J354" s="41">
        <v>0</v>
      </c>
      <c r="K354" s="41">
        <v>34683</v>
      </c>
      <c r="L354" s="41" t="s">
        <v>935</v>
      </c>
      <c r="M354" s="41">
        <v>3167</v>
      </c>
    </row>
    <row r="355" spans="1:13" x14ac:dyDescent="0.25">
      <c r="A355" s="40" t="s">
        <v>916</v>
      </c>
      <c r="B355" s="40" t="s">
        <v>764</v>
      </c>
      <c r="C355" s="40" t="s">
        <v>360</v>
      </c>
      <c r="D355" s="40" t="s">
        <v>936</v>
      </c>
      <c r="E355" s="40" t="s">
        <v>41</v>
      </c>
      <c r="F355" s="40" t="s">
        <v>900</v>
      </c>
      <c r="G355" s="41">
        <v>1</v>
      </c>
      <c r="H355" s="41">
        <v>34000</v>
      </c>
      <c r="I355" s="41">
        <v>0</v>
      </c>
      <c r="J355" s="41">
        <v>0</v>
      </c>
      <c r="K355" s="41">
        <v>32163</v>
      </c>
      <c r="L355" s="41" t="s">
        <v>937</v>
      </c>
      <c r="M355" s="41">
        <v>1837</v>
      </c>
    </row>
    <row r="356" spans="1:13" x14ac:dyDescent="0.25">
      <c r="A356" s="40" t="s">
        <v>916</v>
      </c>
      <c r="B356" s="40" t="s">
        <v>764</v>
      </c>
      <c r="C356" s="40" t="s">
        <v>50</v>
      </c>
      <c r="D356" s="40" t="s">
        <v>938</v>
      </c>
      <c r="E356" s="40" t="s">
        <v>135</v>
      </c>
      <c r="F356" s="40" t="s">
        <v>566</v>
      </c>
      <c r="G356" s="41">
        <v>1</v>
      </c>
      <c r="H356" s="41">
        <v>18999</v>
      </c>
      <c r="I356" s="41">
        <v>0</v>
      </c>
      <c r="J356" s="41">
        <v>0</v>
      </c>
      <c r="K356" s="41">
        <v>18421</v>
      </c>
      <c r="L356" s="41" t="s">
        <v>939</v>
      </c>
      <c r="M356" s="41">
        <v>578</v>
      </c>
    </row>
    <row r="357" spans="1:13" x14ac:dyDescent="0.25">
      <c r="A357" s="40" t="s">
        <v>916</v>
      </c>
      <c r="B357" s="40" t="s">
        <v>764</v>
      </c>
      <c r="C357" s="40" t="s">
        <v>50</v>
      </c>
      <c r="D357" s="40" t="s">
        <v>940</v>
      </c>
      <c r="E357" s="40" t="s">
        <v>30</v>
      </c>
      <c r="F357" s="40" t="s">
        <v>569</v>
      </c>
      <c r="G357" s="41">
        <v>1</v>
      </c>
      <c r="H357" s="41">
        <v>14700</v>
      </c>
      <c r="I357" s="41">
        <v>0</v>
      </c>
      <c r="J357" s="41">
        <v>0</v>
      </c>
      <c r="K357" s="41">
        <v>14175</v>
      </c>
      <c r="L357" s="41" t="s">
        <v>941</v>
      </c>
      <c r="M357" s="41">
        <v>525</v>
      </c>
    </row>
    <row r="358" spans="1:13" x14ac:dyDescent="0.25">
      <c r="A358" s="40" t="s">
        <v>916</v>
      </c>
      <c r="B358" s="40" t="s">
        <v>764</v>
      </c>
      <c r="C358" s="40" t="s">
        <v>50</v>
      </c>
      <c r="D358" s="40" t="s">
        <v>942</v>
      </c>
      <c r="E358" s="40" t="s">
        <v>34</v>
      </c>
      <c r="F358" s="40" t="s">
        <v>818</v>
      </c>
      <c r="G358" s="41">
        <v>1</v>
      </c>
      <c r="H358" s="41">
        <v>10300</v>
      </c>
      <c r="I358" s="41">
        <v>0</v>
      </c>
      <c r="J358" s="41">
        <v>0</v>
      </c>
      <c r="K358" s="41">
        <v>10303</v>
      </c>
      <c r="L358" s="41" t="s">
        <v>943</v>
      </c>
      <c r="M358" s="41">
        <v>-3</v>
      </c>
    </row>
    <row r="359" spans="1:13" x14ac:dyDescent="0.25">
      <c r="A359" s="40" t="s">
        <v>916</v>
      </c>
      <c r="B359" s="40" t="s">
        <v>764</v>
      </c>
      <c r="C359" s="40" t="s">
        <v>114</v>
      </c>
      <c r="D359" s="40" t="s">
        <v>944</v>
      </c>
      <c r="E359" s="40" t="s">
        <v>30</v>
      </c>
      <c r="F359" s="40" t="s">
        <v>945</v>
      </c>
      <c r="G359" s="41">
        <v>1</v>
      </c>
      <c r="H359" s="41">
        <v>16298</v>
      </c>
      <c r="I359" s="41">
        <v>0</v>
      </c>
      <c r="J359" s="41">
        <v>0</v>
      </c>
      <c r="K359" s="41">
        <v>15956</v>
      </c>
      <c r="L359" s="41" t="s">
        <v>946</v>
      </c>
      <c r="M359" s="41">
        <v>342</v>
      </c>
    </row>
    <row r="360" spans="1:13" x14ac:dyDescent="0.25">
      <c r="A360" s="40" t="s">
        <v>916</v>
      </c>
      <c r="B360" s="40" t="s">
        <v>764</v>
      </c>
      <c r="C360" s="40" t="s">
        <v>56</v>
      </c>
      <c r="D360" s="40" t="s">
        <v>947</v>
      </c>
      <c r="E360" s="40" t="s">
        <v>24</v>
      </c>
      <c r="F360" s="40" t="s">
        <v>821</v>
      </c>
      <c r="G360" s="41">
        <v>1</v>
      </c>
      <c r="H360" s="41">
        <v>20999</v>
      </c>
      <c r="I360" s="41">
        <v>0</v>
      </c>
      <c r="J360" s="41">
        <v>0</v>
      </c>
      <c r="K360" s="41">
        <v>18601</v>
      </c>
      <c r="L360" s="41" t="s">
        <v>948</v>
      </c>
      <c r="M360" s="41">
        <v>2398</v>
      </c>
    </row>
    <row r="361" spans="1:13" x14ac:dyDescent="0.25">
      <c r="A361" s="40" t="s">
        <v>916</v>
      </c>
      <c r="B361" s="40" t="s">
        <v>764</v>
      </c>
      <c r="C361" s="40" t="s">
        <v>56</v>
      </c>
      <c r="D361" s="40" t="s">
        <v>949</v>
      </c>
      <c r="E361" s="40" t="s">
        <v>135</v>
      </c>
      <c r="F361" s="40" t="s">
        <v>821</v>
      </c>
      <c r="G361" s="41">
        <v>1</v>
      </c>
      <c r="H361" s="41">
        <v>20200</v>
      </c>
      <c r="I361" s="41">
        <v>0</v>
      </c>
      <c r="J361" s="41">
        <v>0</v>
      </c>
      <c r="K361" s="41">
        <v>18601</v>
      </c>
      <c r="L361" s="41" t="s">
        <v>950</v>
      </c>
      <c r="M361" s="41">
        <v>1599</v>
      </c>
    </row>
    <row r="362" spans="1:13" x14ac:dyDescent="0.25">
      <c r="A362" s="40" t="s">
        <v>916</v>
      </c>
      <c r="B362" s="40" t="s">
        <v>764</v>
      </c>
      <c r="C362" s="40" t="s">
        <v>60</v>
      </c>
      <c r="D362" s="40" t="s">
        <v>951</v>
      </c>
      <c r="E362" s="40" t="s">
        <v>95</v>
      </c>
      <c r="F362" s="40" t="s">
        <v>74</v>
      </c>
      <c r="G362" s="41">
        <v>1</v>
      </c>
      <c r="H362" s="41">
        <v>14999</v>
      </c>
      <c r="I362" s="41">
        <v>0</v>
      </c>
      <c r="J362" s="41">
        <v>0</v>
      </c>
      <c r="K362" s="41">
        <v>14010</v>
      </c>
      <c r="L362" s="41" t="s">
        <v>952</v>
      </c>
      <c r="M362" s="41">
        <v>989</v>
      </c>
    </row>
    <row r="363" spans="1:13" x14ac:dyDescent="0.25">
      <c r="A363" s="40" t="s">
        <v>916</v>
      </c>
      <c r="B363" s="40" t="s">
        <v>764</v>
      </c>
      <c r="C363" s="40" t="s">
        <v>82</v>
      </c>
      <c r="D363" s="40" t="s">
        <v>953</v>
      </c>
      <c r="E363" s="40" t="s">
        <v>109</v>
      </c>
      <c r="F363" s="40" t="s">
        <v>84</v>
      </c>
      <c r="G363" s="41">
        <v>1</v>
      </c>
      <c r="H363" s="41">
        <v>13000</v>
      </c>
      <c r="I363" s="41">
        <v>0</v>
      </c>
      <c r="J363" s="41">
        <v>0</v>
      </c>
      <c r="K363" s="41">
        <v>12605</v>
      </c>
      <c r="L363" s="41" t="s">
        <v>954</v>
      </c>
      <c r="M363" s="41">
        <v>395</v>
      </c>
    </row>
    <row r="364" spans="1:13" x14ac:dyDescent="0.25">
      <c r="A364" s="40" t="s">
        <v>916</v>
      </c>
      <c r="B364" s="40" t="s">
        <v>764</v>
      </c>
      <c r="C364" s="40" t="s">
        <v>82</v>
      </c>
      <c r="D364" s="40" t="s">
        <v>955</v>
      </c>
      <c r="E364" s="40" t="s">
        <v>162</v>
      </c>
      <c r="F364" s="40" t="s">
        <v>956</v>
      </c>
      <c r="G364" s="41">
        <v>1</v>
      </c>
      <c r="H364" s="41">
        <v>30300</v>
      </c>
      <c r="I364" s="41">
        <v>0</v>
      </c>
      <c r="J364" s="41">
        <v>0</v>
      </c>
      <c r="K364" s="41">
        <v>29069</v>
      </c>
      <c r="L364" s="41" t="s">
        <v>957</v>
      </c>
      <c r="M364" s="41">
        <v>1231</v>
      </c>
    </row>
    <row r="365" spans="1:13" x14ac:dyDescent="0.25">
      <c r="A365" s="40" t="s">
        <v>958</v>
      </c>
      <c r="B365" s="40" t="s">
        <v>764</v>
      </c>
      <c r="C365" s="40" t="s">
        <v>609</v>
      </c>
      <c r="D365" s="40" t="s">
        <v>959</v>
      </c>
      <c r="E365" s="40" t="s">
        <v>24</v>
      </c>
      <c r="F365" s="40" t="s">
        <v>876</v>
      </c>
      <c r="G365" s="41">
        <v>1</v>
      </c>
      <c r="H365" s="41">
        <v>1899</v>
      </c>
      <c r="I365" s="41">
        <v>0</v>
      </c>
      <c r="J365" s="41">
        <v>0</v>
      </c>
      <c r="K365" s="41">
        <v>1129</v>
      </c>
      <c r="L365" s="41" t="s">
        <v>960</v>
      </c>
      <c r="M365" s="41">
        <v>770</v>
      </c>
    </row>
    <row r="366" spans="1:13" x14ac:dyDescent="0.25">
      <c r="A366" s="40" t="s">
        <v>958</v>
      </c>
      <c r="B366" s="40" t="s">
        <v>764</v>
      </c>
      <c r="C366" s="40" t="s">
        <v>28</v>
      </c>
      <c r="D366" s="40" t="s">
        <v>961</v>
      </c>
      <c r="E366" s="40" t="s">
        <v>24</v>
      </c>
      <c r="F366" s="40" t="s">
        <v>219</v>
      </c>
      <c r="G366" s="41">
        <v>1</v>
      </c>
      <c r="H366" s="41">
        <v>12700</v>
      </c>
      <c r="I366" s="41">
        <v>0</v>
      </c>
      <c r="J366" s="41">
        <v>0</v>
      </c>
      <c r="K366" s="41">
        <v>12626</v>
      </c>
      <c r="L366" s="41" t="s">
        <v>962</v>
      </c>
      <c r="M366" s="41">
        <v>74</v>
      </c>
    </row>
    <row r="367" spans="1:13" x14ac:dyDescent="0.25">
      <c r="A367" s="40" t="s">
        <v>958</v>
      </c>
      <c r="B367" s="40" t="s">
        <v>764</v>
      </c>
      <c r="C367" s="40" t="s">
        <v>28</v>
      </c>
      <c r="D367" s="40" t="s">
        <v>963</v>
      </c>
      <c r="E367" s="40" t="s">
        <v>24</v>
      </c>
      <c r="F367" s="40" t="s">
        <v>106</v>
      </c>
      <c r="G367" s="41">
        <v>1</v>
      </c>
      <c r="H367" s="41">
        <v>16999</v>
      </c>
      <c r="I367" s="41">
        <v>0</v>
      </c>
      <c r="J367" s="41">
        <v>0</v>
      </c>
      <c r="K367" s="41">
        <v>16511</v>
      </c>
      <c r="L367" s="41" t="s">
        <v>964</v>
      </c>
      <c r="M367" s="41">
        <v>488</v>
      </c>
    </row>
    <row r="368" spans="1:13" x14ac:dyDescent="0.25">
      <c r="A368" s="40" t="s">
        <v>958</v>
      </c>
      <c r="B368" s="40" t="s">
        <v>764</v>
      </c>
      <c r="C368" s="40" t="s">
        <v>28</v>
      </c>
      <c r="D368" s="40" t="s">
        <v>965</v>
      </c>
      <c r="E368" s="40" t="s">
        <v>30</v>
      </c>
      <c r="F368" s="40" t="s">
        <v>99</v>
      </c>
      <c r="G368" s="41">
        <v>1</v>
      </c>
      <c r="H368" s="41">
        <v>26999</v>
      </c>
      <c r="I368" s="41">
        <v>0</v>
      </c>
      <c r="J368" s="41">
        <v>0</v>
      </c>
      <c r="K368" s="41">
        <v>25975</v>
      </c>
      <c r="L368" s="41" t="s">
        <v>966</v>
      </c>
      <c r="M368" s="41">
        <v>1024</v>
      </c>
    </row>
    <row r="369" spans="1:13" x14ac:dyDescent="0.25">
      <c r="A369" s="40" t="s">
        <v>958</v>
      </c>
      <c r="B369" s="40" t="s">
        <v>764</v>
      </c>
      <c r="C369" s="40" t="s">
        <v>18</v>
      </c>
      <c r="D369" s="40" t="s">
        <v>967</v>
      </c>
      <c r="E369" s="40" t="s">
        <v>15</v>
      </c>
      <c r="F369" s="40" t="s">
        <v>968</v>
      </c>
      <c r="G369" s="41">
        <v>1</v>
      </c>
      <c r="H369" s="41">
        <v>2199</v>
      </c>
      <c r="I369" s="41">
        <v>0</v>
      </c>
      <c r="J369" s="41">
        <v>0</v>
      </c>
      <c r="K369" s="41">
        <v>1936</v>
      </c>
      <c r="L369" s="41" t="s">
        <v>969</v>
      </c>
      <c r="M369" s="41">
        <v>263</v>
      </c>
    </row>
    <row r="370" spans="1:13" x14ac:dyDescent="0.25">
      <c r="A370" s="40" t="s">
        <v>958</v>
      </c>
      <c r="B370" s="40" t="s">
        <v>764</v>
      </c>
      <c r="C370" s="40" t="s">
        <v>360</v>
      </c>
      <c r="D370" s="40" t="s">
        <v>970</v>
      </c>
      <c r="E370" s="40" t="s">
        <v>24</v>
      </c>
      <c r="F370" s="40" t="s">
        <v>971</v>
      </c>
      <c r="G370" s="41">
        <v>1</v>
      </c>
      <c r="H370" s="41">
        <v>24000</v>
      </c>
      <c r="I370" s="41">
        <v>0</v>
      </c>
      <c r="J370" s="41">
        <v>0</v>
      </c>
      <c r="K370" s="41">
        <v>22973</v>
      </c>
      <c r="L370" s="41" t="s">
        <v>972</v>
      </c>
      <c r="M370" s="41">
        <v>1027</v>
      </c>
    </row>
    <row r="371" spans="1:13" x14ac:dyDescent="0.25">
      <c r="A371" s="40" t="s">
        <v>958</v>
      </c>
      <c r="B371" s="40" t="s">
        <v>764</v>
      </c>
      <c r="C371" s="40" t="s">
        <v>360</v>
      </c>
      <c r="D371" s="40" t="s">
        <v>973</v>
      </c>
      <c r="E371" s="40" t="s">
        <v>45</v>
      </c>
      <c r="F371" s="40" t="s">
        <v>900</v>
      </c>
      <c r="G371" s="41">
        <v>1</v>
      </c>
      <c r="H371" s="41">
        <v>33625</v>
      </c>
      <c r="I371" s="41">
        <v>0</v>
      </c>
      <c r="J371" s="41">
        <v>0</v>
      </c>
      <c r="K371" s="41">
        <v>32163</v>
      </c>
      <c r="L371" s="41" t="s">
        <v>974</v>
      </c>
      <c r="M371" s="41">
        <v>1462</v>
      </c>
    </row>
    <row r="372" spans="1:13" x14ac:dyDescent="0.25">
      <c r="A372" s="40" t="s">
        <v>958</v>
      </c>
      <c r="B372" s="40" t="s">
        <v>764</v>
      </c>
      <c r="C372" s="40" t="s">
        <v>50</v>
      </c>
      <c r="D372" s="40" t="s">
        <v>975</v>
      </c>
      <c r="E372" s="40" t="s">
        <v>24</v>
      </c>
      <c r="F372" s="40" t="s">
        <v>792</v>
      </c>
      <c r="G372" s="41">
        <v>1</v>
      </c>
      <c r="H372" s="41">
        <v>17500</v>
      </c>
      <c r="I372" s="41">
        <v>0</v>
      </c>
      <c r="J372" s="41">
        <v>0</v>
      </c>
      <c r="K372" s="41">
        <v>17329</v>
      </c>
      <c r="L372" s="41" t="s">
        <v>976</v>
      </c>
      <c r="M372" s="41">
        <v>171</v>
      </c>
    </row>
    <row r="373" spans="1:13" x14ac:dyDescent="0.25">
      <c r="A373" s="40" t="s">
        <v>958</v>
      </c>
      <c r="B373" s="40" t="s">
        <v>764</v>
      </c>
      <c r="C373" s="40" t="s">
        <v>50</v>
      </c>
      <c r="D373" s="40" t="s">
        <v>977</v>
      </c>
      <c r="E373" s="40" t="s">
        <v>24</v>
      </c>
      <c r="F373" s="40" t="s">
        <v>557</v>
      </c>
      <c r="G373" s="41">
        <v>1</v>
      </c>
      <c r="H373" s="41">
        <v>26300</v>
      </c>
      <c r="I373" s="41">
        <v>0</v>
      </c>
      <c r="J373" s="41">
        <v>0</v>
      </c>
      <c r="K373" s="41">
        <v>24625</v>
      </c>
      <c r="L373" s="41" t="s">
        <v>978</v>
      </c>
      <c r="M373" s="41">
        <v>1675</v>
      </c>
    </row>
    <row r="374" spans="1:13" x14ac:dyDescent="0.25">
      <c r="A374" s="40" t="s">
        <v>958</v>
      </c>
      <c r="B374" s="40" t="s">
        <v>764</v>
      </c>
      <c r="C374" s="40" t="s">
        <v>50</v>
      </c>
      <c r="D374" s="40" t="s">
        <v>979</v>
      </c>
      <c r="E374" s="40" t="s">
        <v>95</v>
      </c>
      <c r="F374" s="40" t="s">
        <v>807</v>
      </c>
      <c r="G374" s="41">
        <v>1</v>
      </c>
      <c r="H374" s="41">
        <v>28300</v>
      </c>
      <c r="I374" s="41">
        <v>0</v>
      </c>
      <c r="J374" s="41">
        <v>0</v>
      </c>
      <c r="K374" s="41">
        <v>26449</v>
      </c>
      <c r="L374" s="41" t="s">
        <v>980</v>
      </c>
      <c r="M374" s="41">
        <v>1851</v>
      </c>
    </row>
    <row r="375" spans="1:13" x14ac:dyDescent="0.25">
      <c r="A375" s="40" t="s">
        <v>958</v>
      </c>
      <c r="B375" s="40" t="s">
        <v>764</v>
      </c>
      <c r="C375" s="40" t="s">
        <v>50</v>
      </c>
      <c r="D375" s="40" t="s">
        <v>981</v>
      </c>
      <c r="E375" s="40" t="s">
        <v>105</v>
      </c>
      <c r="F375" s="40" t="s">
        <v>810</v>
      </c>
      <c r="G375" s="41">
        <v>1</v>
      </c>
      <c r="H375" s="41">
        <v>33000</v>
      </c>
      <c r="I375" s="41">
        <v>0</v>
      </c>
      <c r="J375" s="41">
        <v>0</v>
      </c>
      <c r="K375" s="41">
        <v>31010</v>
      </c>
      <c r="L375" s="41" t="s">
        <v>982</v>
      </c>
      <c r="M375" s="41">
        <v>1990</v>
      </c>
    </row>
    <row r="376" spans="1:13" x14ac:dyDescent="0.25">
      <c r="A376" s="40" t="s">
        <v>958</v>
      </c>
      <c r="B376" s="40" t="s">
        <v>764</v>
      </c>
      <c r="C376" s="40" t="s">
        <v>50</v>
      </c>
      <c r="D376" s="40" t="s">
        <v>983</v>
      </c>
      <c r="E376" s="40" t="s">
        <v>109</v>
      </c>
      <c r="F376" s="40" t="s">
        <v>792</v>
      </c>
      <c r="G376" s="41">
        <v>1</v>
      </c>
      <c r="H376" s="41">
        <v>18000</v>
      </c>
      <c r="I376" s="41">
        <v>0</v>
      </c>
      <c r="J376" s="41">
        <v>0</v>
      </c>
      <c r="K376" s="41">
        <v>17329</v>
      </c>
      <c r="L376" s="41" t="s">
        <v>984</v>
      </c>
      <c r="M376" s="41">
        <v>671</v>
      </c>
    </row>
    <row r="377" spans="1:13" x14ac:dyDescent="0.25">
      <c r="A377" s="40" t="s">
        <v>958</v>
      </c>
      <c r="B377" s="40" t="s">
        <v>764</v>
      </c>
      <c r="C377" s="40" t="s">
        <v>50</v>
      </c>
      <c r="D377" s="40" t="s">
        <v>985</v>
      </c>
      <c r="E377" s="40" t="s">
        <v>109</v>
      </c>
      <c r="F377" s="40" t="s">
        <v>986</v>
      </c>
      <c r="G377" s="41">
        <v>1</v>
      </c>
      <c r="H377" s="41">
        <v>16000</v>
      </c>
      <c r="I377" s="41">
        <v>0</v>
      </c>
      <c r="J377" s="41">
        <v>0</v>
      </c>
      <c r="K377" s="41">
        <v>15997</v>
      </c>
      <c r="L377" s="41" t="s">
        <v>987</v>
      </c>
      <c r="M377" s="41">
        <v>3</v>
      </c>
    </row>
    <row r="378" spans="1:13" x14ac:dyDescent="0.25">
      <c r="A378" s="40" t="s">
        <v>958</v>
      </c>
      <c r="B378" s="40" t="s">
        <v>764</v>
      </c>
      <c r="C378" s="40" t="s">
        <v>50</v>
      </c>
      <c r="D378" s="40" t="s">
        <v>988</v>
      </c>
      <c r="E378" s="40" t="s">
        <v>162</v>
      </c>
      <c r="F378" s="40" t="s">
        <v>810</v>
      </c>
      <c r="G378" s="41">
        <v>1</v>
      </c>
      <c r="H378" s="41">
        <v>32728</v>
      </c>
      <c r="I378" s="41">
        <v>0</v>
      </c>
      <c r="J378" s="41">
        <v>0</v>
      </c>
      <c r="K378" s="41">
        <v>31010</v>
      </c>
      <c r="L378" s="41" t="s">
        <v>989</v>
      </c>
      <c r="M378" s="41">
        <v>1718</v>
      </c>
    </row>
    <row r="379" spans="1:13" x14ac:dyDescent="0.25">
      <c r="A379" s="40" t="s">
        <v>958</v>
      </c>
      <c r="B379" s="40" t="s">
        <v>764</v>
      </c>
      <c r="C379" s="40" t="s">
        <v>50</v>
      </c>
      <c r="D379" s="40" t="s">
        <v>990</v>
      </c>
      <c r="E379" s="40" t="s">
        <v>162</v>
      </c>
      <c r="F379" s="40" t="s">
        <v>991</v>
      </c>
      <c r="G379" s="41">
        <v>1</v>
      </c>
      <c r="H379" s="41">
        <v>33999</v>
      </c>
      <c r="I379" s="41">
        <v>0</v>
      </c>
      <c r="J379" s="41">
        <v>0</v>
      </c>
      <c r="K379" s="41">
        <v>31010</v>
      </c>
      <c r="L379" s="41" t="s">
        <v>992</v>
      </c>
      <c r="M379" s="41">
        <v>2989</v>
      </c>
    </row>
    <row r="380" spans="1:13" x14ac:dyDescent="0.25">
      <c r="A380" s="40" t="s">
        <v>958</v>
      </c>
      <c r="B380" s="40" t="s">
        <v>764</v>
      </c>
      <c r="C380" s="40" t="s">
        <v>50</v>
      </c>
      <c r="D380" s="40" t="s">
        <v>993</v>
      </c>
      <c r="E380" s="40" t="s">
        <v>30</v>
      </c>
      <c r="F380" s="40" t="s">
        <v>991</v>
      </c>
      <c r="G380" s="41">
        <v>1</v>
      </c>
      <c r="H380" s="41">
        <v>33000</v>
      </c>
      <c r="I380" s="41">
        <v>0</v>
      </c>
      <c r="J380" s="41">
        <v>0</v>
      </c>
      <c r="K380" s="41">
        <v>31010</v>
      </c>
      <c r="L380" s="41" t="s">
        <v>994</v>
      </c>
      <c r="M380" s="41">
        <v>1990</v>
      </c>
    </row>
    <row r="381" spans="1:13" x14ac:dyDescent="0.25">
      <c r="A381" s="40" t="s">
        <v>958</v>
      </c>
      <c r="B381" s="40" t="s">
        <v>764</v>
      </c>
      <c r="C381" s="40" t="s">
        <v>50</v>
      </c>
      <c r="D381" s="40" t="s">
        <v>995</v>
      </c>
      <c r="E381" s="40" t="s">
        <v>34</v>
      </c>
      <c r="F381" s="40" t="s">
        <v>800</v>
      </c>
      <c r="G381" s="41">
        <v>1</v>
      </c>
      <c r="H381" s="41">
        <v>19000</v>
      </c>
      <c r="I381" s="41">
        <v>0</v>
      </c>
      <c r="J381" s="41">
        <v>0</v>
      </c>
      <c r="K381" s="41">
        <v>18734</v>
      </c>
      <c r="L381" s="41" t="s">
        <v>996</v>
      </c>
      <c r="M381" s="41">
        <v>266</v>
      </c>
    </row>
    <row r="382" spans="1:13" x14ac:dyDescent="0.25">
      <c r="A382" s="40" t="s">
        <v>958</v>
      </c>
      <c r="B382" s="40" t="s">
        <v>764</v>
      </c>
      <c r="C382" s="40" t="s">
        <v>50</v>
      </c>
      <c r="D382" s="40" t="s">
        <v>997</v>
      </c>
      <c r="E382" s="40" t="s">
        <v>41</v>
      </c>
      <c r="F382" s="40" t="s">
        <v>998</v>
      </c>
      <c r="G382" s="41">
        <v>1</v>
      </c>
      <c r="H382" s="41">
        <v>21999</v>
      </c>
      <c r="I382" s="41">
        <v>0</v>
      </c>
      <c r="J382" s="41">
        <v>0</v>
      </c>
      <c r="K382" s="41">
        <v>20246</v>
      </c>
      <c r="L382" s="41" t="s">
        <v>999</v>
      </c>
      <c r="M382" s="41">
        <v>1753</v>
      </c>
    </row>
    <row r="383" spans="1:13" x14ac:dyDescent="0.25">
      <c r="A383" s="40" t="s">
        <v>958</v>
      </c>
      <c r="B383" s="40" t="s">
        <v>764</v>
      </c>
      <c r="C383" s="40" t="s">
        <v>50</v>
      </c>
      <c r="D383" s="40" t="s">
        <v>1000</v>
      </c>
      <c r="E383" s="40" t="s">
        <v>45</v>
      </c>
      <c r="F383" s="40" t="s">
        <v>810</v>
      </c>
      <c r="G383" s="41">
        <v>1</v>
      </c>
      <c r="H383" s="41">
        <v>33999</v>
      </c>
      <c r="I383" s="41">
        <v>0</v>
      </c>
      <c r="J383" s="41">
        <v>0</v>
      </c>
      <c r="K383" s="41">
        <v>31010</v>
      </c>
      <c r="L383" s="41" t="s">
        <v>1001</v>
      </c>
      <c r="M383" s="41">
        <v>2989</v>
      </c>
    </row>
    <row r="384" spans="1:13" x14ac:dyDescent="0.25">
      <c r="A384" s="40" t="s">
        <v>958</v>
      </c>
      <c r="B384" s="40" t="s">
        <v>764</v>
      </c>
      <c r="C384" s="40" t="s">
        <v>50</v>
      </c>
      <c r="D384" s="40" t="s">
        <v>1002</v>
      </c>
      <c r="E384" s="40" t="s">
        <v>45</v>
      </c>
      <c r="F384" s="40" t="s">
        <v>795</v>
      </c>
      <c r="G384" s="41">
        <v>1</v>
      </c>
      <c r="H384" s="41">
        <v>35300</v>
      </c>
      <c r="I384" s="41">
        <v>0</v>
      </c>
      <c r="J384" s="41">
        <v>0</v>
      </c>
      <c r="K384" s="41">
        <v>34658</v>
      </c>
      <c r="L384" s="41" t="s">
        <v>1003</v>
      </c>
      <c r="M384" s="41">
        <v>642</v>
      </c>
    </row>
    <row r="385" spans="1:13" x14ac:dyDescent="0.25">
      <c r="A385" s="40" t="s">
        <v>958</v>
      </c>
      <c r="B385" s="40" t="s">
        <v>764</v>
      </c>
      <c r="C385" s="40" t="s">
        <v>114</v>
      </c>
      <c r="D385" s="40" t="s">
        <v>1004</v>
      </c>
      <c r="E385" s="40" t="s">
        <v>135</v>
      </c>
      <c r="F385" s="40" t="s">
        <v>1005</v>
      </c>
      <c r="G385" s="41">
        <v>1</v>
      </c>
      <c r="H385" s="41">
        <v>12499</v>
      </c>
      <c r="I385" s="41">
        <v>0</v>
      </c>
      <c r="J385" s="41">
        <v>0</v>
      </c>
      <c r="K385" s="41">
        <v>11281</v>
      </c>
      <c r="L385" s="41" t="s">
        <v>1006</v>
      </c>
      <c r="M385" s="41">
        <v>1218</v>
      </c>
    </row>
    <row r="386" spans="1:13" x14ac:dyDescent="0.25">
      <c r="A386" s="40" t="s">
        <v>958</v>
      </c>
      <c r="B386" s="40" t="s">
        <v>764</v>
      </c>
      <c r="C386" s="40" t="s">
        <v>56</v>
      </c>
      <c r="D386" s="40" t="s">
        <v>1007</v>
      </c>
      <c r="E386" s="40" t="s">
        <v>15</v>
      </c>
      <c r="F386" s="40" t="s">
        <v>821</v>
      </c>
      <c r="G386" s="41">
        <v>1</v>
      </c>
      <c r="H386" s="41">
        <v>20000</v>
      </c>
      <c r="I386" s="41">
        <v>0</v>
      </c>
      <c r="J386" s="41">
        <v>0</v>
      </c>
      <c r="K386" s="41">
        <v>18601</v>
      </c>
      <c r="L386" s="41" t="s">
        <v>1008</v>
      </c>
      <c r="M386" s="41">
        <v>1399</v>
      </c>
    </row>
    <row r="387" spans="1:13" x14ac:dyDescent="0.25">
      <c r="A387" s="40" t="s">
        <v>1009</v>
      </c>
      <c r="B387" s="40" t="s">
        <v>764</v>
      </c>
      <c r="C387" s="40" t="s">
        <v>609</v>
      </c>
      <c r="D387" s="40" t="s">
        <v>1010</v>
      </c>
      <c r="E387" s="40" t="s">
        <v>105</v>
      </c>
      <c r="F387" s="40" t="s">
        <v>1011</v>
      </c>
      <c r="G387" s="41">
        <v>1</v>
      </c>
      <c r="H387" s="41">
        <v>1249</v>
      </c>
      <c r="I387" s="41">
        <v>0</v>
      </c>
      <c r="J387" s="41">
        <v>0</v>
      </c>
      <c r="K387" s="41">
        <v>799</v>
      </c>
      <c r="L387" s="41" t="s">
        <v>1012</v>
      </c>
      <c r="M387" s="41">
        <v>450</v>
      </c>
    </row>
    <row r="388" spans="1:13" x14ac:dyDescent="0.25">
      <c r="A388" s="40" t="s">
        <v>1009</v>
      </c>
      <c r="B388" s="40" t="s">
        <v>764</v>
      </c>
      <c r="C388" s="40" t="s">
        <v>28</v>
      </c>
      <c r="D388" s="40" t="s">
        <v>1013</v>
      </c>
      <c r="E388" s="40" t="s">
        <v>24</v>
      </c>
      <c r="F388" s="40" t="s">
        <v>106</v>
      </c>
      <c r="G388" s="41">
        <v>1</v>
      </c>
      <c r="H388" s="41">
        <v>16700</v>
      </c>
      <c r="I388" s="41">
        <v>0</v>
      </c>
      <c r="J388" s="41">
        <v>0</v>
      </c>
      <c r="K388" s="41">
        <v>16511</v>
      </c>
      <c r="L388" s="41" t="s">
        <v>1014</v>
      </c>
      <c r="M388" s="41">
        <v>189</v>
      </c>
    </row>
    <row r="389" spans="1:13" x14ac:dyDescent="0.25">
      <c r="A389" s="40" t="s">
        <v>1009</v>
      </c>
      <c r="B389" s="40" t="s">
        <v>764</v>
      </c>
      <c r="C389" s="40" t="s">
        <v>527</v>
      </c>
      <c r="D389" s="40" t="s">
        <v>1015</v>
      </c>
      <c r="E389" s="40" t="s">
        <v>34</v>
      </c>
      <c r="F389" s="40" t="s">
        <v>529</v>
      </c>
      <c r="G389" s="41">
        <v>1</v>
      </c>
      <c r="H389" s="41">
        <v>44500</v>
      </c>
      <c r="I389" s="41">
        <v>0</v>
      </c>
      <c r="J389" s="41">
        <v>0</v>
      </c>
      <c r="K389" s="41">
        <v>43790</v>
      </c>
      <c r="L389" s="41" t="s">
        <v>1016</v>
      </c>
      <c r="M389" s="41">
        <v>710</v>
      </c>
    </row>
    <row r="390" spans="1:13" x14ac:dyDescent="0.25">
      <c r="A390" s="40" t="s">
        <v>1009</v>
      </c>
      <c r="B390" s="40" t="s">
        <v>764</v>
      </c>
      <c r="C390" s="40" t="s">
        <v>22</v>
      </c>
      <c r="D390" s="40" t="s">
        <v>1017</v>
      </c>
      <c r="E390" s="40" t="s">
        <v>34</v>
      </c>
      <c r="F390" s="40" t="s">
        <v>1018</v>
      </c>
      <c r="G390" s="41">
        <v>1</v>
      </c>
      <c r="H390" s="41">
        <v>58000</v>
      </c>
      <c r="I390" s="41">
        <v>0</v>
      </c>
      <c r="J390" s="41">
        <v>0</v>
      </c>
      <c r="K390" s="41">
        <v>56905</v>
      </c>
      <c r="L390" s="41" t="s">
        <v>1019</v>
      </c>
      <c r="M390" s="41">
        <v>1095</v>
      </c>
    </row>
    <row r="391" spans="1:13" x14ac:dyDescent="0.25">
      <c r="A391" s="40" t="s">
        <v>1009</v>
      </c>
      <c r="B391" s="40" t="s">
        <v>764</v>
      </c>
      <c r="C391" s="40" t="s">
        <v>114</v>
      </c>
      <c r="D391" s="40" t="s">
        <v>1020</v>
      </c>
      <c r="E391" s="40" t="s">
        <v>95</v>
      </c>
      <c r="F391" s="40" t="s">
        <v>116</v>
      </c>
      <c r="G391" s="41">
        <v>1</v>
      </c>
      <c r="H391" s="41">
        <v>18300</v>
      </c>
      <c r="I391" s="41">
        <v>0</v>
      </c>
      <c r="J391" s="41">
        <v>0</v>
      </c>
      <c r="K391" s="41">
        <v>17834</v>
      </c>
      <c r="L391" s="41" t="s">
        <v>1021</v>
      </c>
      <c r="M391" s="41">
        <v>466</v>
      </c>
    </row>
    <row r="392" spans="1:13" x14ac:dyDescent="0.25">
      <c r="A392" s="40" t="s">
        <v>1009</v>
      </c>
      <c r="B392" s="40" t="s">
        <v>764</v>
      </c>
      <c r="C392" s="40" t="s">
        <v>56</v>
      </c>
      <c r="D392" s="40" t="s">
        <v>1022</v>
      </c>
      <c r="E392" s="40" t="s">
        <v>162</v>
      </c>
      <c r="F392" s="40" t="s">
        <v>1023</v>
      </c>
      <c r="G392" s="41">
        <v>1</v>
      </c>
      <c r="H392" s="41">
        <v>28500</v>
      </c>
      <c r="I392" s="41">
        <v>0</v>
      </c>
      <c r="J392" s="41">
        <v>0</v>
      </c>
      <c r="K392" s="41">
        <v>26682</v>
      </c>
      <c r="L392" s="41" t="s">
        <v>1024</v>
      </c>
      <c r="M392" s="41">
        <v>1818</v>
      </c>
    </row>
    <row r="393" spans="1:13" x14ac:dyDescent="0.25">
      <c r="A393" s="40" t="s">
        <v>1009</v>
      </c>
      <c r="B393" s="40" t="s">
        <v>764</v>
      </c>
      <c r="C393" s="40" t="s">
        <v>60</v>
      </c>
      <c r="D393" s="40" t="s">
        <v>1025</v>
      </c>
      <c r="E393" s="40" t="s">
        <v>15</v>
      </c>
      <c r="F393" s="40" t="s">
        <v>1026</v>
      </c>
      <c r="G393" s="41">
        <v>1</v>
      </c>
      <c r="H393" s="41">
        <v>32000</v>
      </c>
      <c r="I393" s="41">
        <v>0</v>
      </c>
      <c r="J393" s="41">
        <v>0</v>
      </c>
      <c r="K393" s="41">
        <v>31431</v>
      </c>
      <c r="L393" s="41" t="s">
        <v>1027</v>
      </c>
      <c r="M393" s="41">
        <v>569</v>
      </c>
    </row>
    <row r="394" spans="1:13" x14ac:dyDescent="0.25">
      <c r="A394" s="40" t="s">
        <v>1009</v>
      </c>
      <c r="B394" s="40" t="s">
        <v>764</v>
      </c>
      <c r="C394" s="40" t="s">
        <v>60</v>
      </c>
      <c r="D394" s="40" t="s">
        <v>1028</v>
      </c>
      <c r="E394" s="40" t="s">
        <v>24</v>
      </c>
      <c r="F394" s="40" t="s">
        <v>319</v>
      </c>
      <c r="G394" s="41">
        <v>1</v>
      </c>
      <c r="H394" s="41">
        <v>9700</v>
      </c>
      <c r="I394" s="41">
        <v>0</v>
      </c>
      <c r="J394" s="41">
        <v>0</v>
      </c>
      <c r="K394" s="41">
        <v>9439</v>
      </c>
      <c r="L394" s="41" t="s">
        <v>1029</v>
      </c>
      <c r="M394" s="41">
        <v>261</v>
      </c>
    </row>
    <row r="395" spans="1:13" x14ac:dyDescent="0.25">
      <c r="A395" s="40" t="s">
        <v>1009</v>
      </c>
      <c r="B395" s="40" t="s">
        <v>764</v>
      </c>
      <c r="C395" s="40" t="s">
        <v>60</v>
      </c>
      <c r="D395" s="40" t="s">
        <v>1030</v>
      </c>
      <c r="E395" s="40" t="s">
        <v>24</v>
      </c>
      <c r="F395" s="40" t="s">
        <v>1031</v>
      </c>
      <c r="G395" s="41">
        <v>1</v>
      </c>
      <c r="H395" s="41">
        <v>26200</v>
      </c>
      <c r="I395" s="41">
        <v>0</v>
      </c>
      <c r="J395" s="41">
        <v>0</v>
      </c>
      <c r="K395" s="41">
        <v>25878</v>
      </c>
      <c r="L395" s="41" t="s">
        <v>1032</v>
      </c>
      <c r="M395" s="41">
        <v>322</v>
      </c>
    </row>
    <row r="396" spans="1:13" x14ac:dyDescent="0.25">
      <c r="A396" s="40" t="s">
        <v>1009</v>
      </c>
      <c r="B396" s="40" t="s">
        <v>764</v>
      </c>
      <c r="C396" s="40" t="s">
        <v>60</v>
      </c>
      <c r="D396" s="40" t="s">
        <v>1033</v>
      </c>
      <c r="E396" s="40" t="s">
        <v>95</v>
      </c>
      <c r="F396" s="40" t="s">
        <v>1034</v>
      </c>
      <c r="G396" s="41">
        <v>1</v>
      </c>
      <c r="H396" s="41">
        <v>26800</v>
      </c>
      <c r="I396" s="41">
        <v>0</v>
      </c>
      <c r="J396" s="41">
        <v>0</v>
      </c>
      <c r="K396" s="41">
        <v>25878</v>
      </c>
      <c r="L396" s="41" t="s">
        <v>1035</v>
      </c>
      <c r="M396" s="41">
        <v>922</v>
      </c>
    </row>
    <row r="397" spans="1:13" x14ac:dyDescent="0.25">
      <c r="A397" s="40" t="s">
        <v>1009</v>
      </c>
      <c r="B397" s="40" t="s">
        <v>764</v>
      </c>
      <c r="C397" s="40" t="s">
        <v>60</v>
      </c>
      <c r="D397" s="40" t="s">
        <v>1036</v>
      </c>
      <c r="E397" s="40" t="s">
        <v>135</v>
      </c>
      <c r="F397" s="40" t="s">
        <v>1037</v>
      </c>
      <c r="G397" s="41">
        <v>1</v>
      </c>
      <c r="H397" s="41">
        <v>24100</v>
      </c>
      <c r="I397" s="41">
        <v>0</v>
      </c>
      <c r="J397" s="41">
        <v>0</v>
      </c>
      <c r="K397" s="41">
        <v>23990</v>
      </c>
      <c r="L397" s="41" t="s">
        <v>1038</v>
      </c>
      <c r="M397" s="41">
        <v>110</v>
      </c>
    </row>
    <row r="398" spans="1:13" x14ac:dyDescent="0.25">
      <c r="A398" s="40" t="s">
        <v>1009</v>
      </c>
      <c r="B398" s="40" t="s">
        <v>764</v>
      </c>
      <c r="C398" s="40" t="s">
        <v>60</v>
      </c>
      <c r="D398" s="40" t="s">
        <v>1039</v>
      </c>
      <c r="E398" s="40" t="s">
        <v>105</v>
      </c>
      <c r="F398" s="40" t="s">
        <v>1040</v>
      </c>
      <c r="G398" s="41">
        <v>1</v>
      </c>
      <c r="H398" s="41">
        <v>36999</v>
      </c>
      <c r="I398" s="41">
        <v>0</v>
      </c>
      <c r="J398" s="41">
        <v>0</v>
      </c>
      <c r="K398" s="41">
        <v>34936</v>
      </c>
      <c r="L398" s="41" t="s">
        <v>1041</v>
      </c>
      <c r="M398" s="41">
        <v>2063</v>
      </c>
    </row>
    <row r="399" spans="1:13" x14ac:dyDescent="0.25">
      <c r="A399" s="40" t="s">
        <v>1009</v>
      </c>
      <c r="B399" s="40" t="s">
        <v>764</v>
      </c>
      <c r="C399" s="40" t="s">
        <v>60</v>
      </c>
      <c r="D399" s="40" t="s">
        <v>1042</v>
      </c>
      <c r="E399" s="40" t="s">
        <v>109</v>
      </c>
      <c r="F399" s="40" t="s">
        <v>1043</v>
      </c>
      <c r="G399" s="41">
        <v>1</v>
      </c>
      <c r="H399" s="41">
        <v>71000</v>
      </c>
      <c r="I399" s="41">
        <v>0</v>
      </c>
      <c r="J399" s="41">
        <v>0</v>
      </c>
      <c r="K399" s="41">
        <v>69202</v>
      </c>
      <c r="L399" s="41" t="s">
        <v>1044</v>
      </c>
      <c r="M399" s="41">
        <v>1798</v>
      </c>
    </row>
    <row r="400" spans="1:13" x14ac:dyDescent="0.25">
      <c r="A400" s="40" t="s">
        <v>1009</v>
      </c>
      <c r="B400" s="40" t="s">
        <v>764</v>
      </c>
      <c r="C400" s="40" t="s">
        <v>60</v>
      </c>
      <c r="D400" s="40" t="s">
        <v>1045</v>
      </c>
      <c r="E400" s="40" t="s">
        <v>109</v>
      </c>
      <c r="F400" s="40" t="s">
        <v>1046</v>
      </c>
      <c r="G400" s="41">
        <v>1</v>
      </c>
      <c r="H400" s="41">
        <v>27500</v>
      </c>
      <c r="I400" s="41">
        <v>0</v>
      </c>
      <c r="J400" s="41">
        <v>0</v>
      </c>
      <c r="K400" s="41">
        <v>25878</v>
      </c>
      <c r="L400" s="41" t="s">
        <v>1047</v>
      </c>
      <c r="M400" s="41">
        <v>1622</v>
      </c>
    </row>
    <row r="401" spans="1:13" x14ac:dyDescent="0.25">
      <c r="A401" s="40" t="s">
        <v>1009</v>
      </c>
      <c r="B401" s="40" t="s">
        <v>764</v>
      </c>
      <c r="C401" s="40" t="s">
        <v>60</v>
      </c>
      <c r="D401" s="40" t="s">
        <v>1048</v>
      </c>
      <c r="E401" s="40" t="s">
        <v>162</v>
      </c>
      <c r="F401" s="40" t="s">
        <v>307</v>
      </c>
      <c r="G401" s="41">
        <v>1</v>
      </c>
      <c r="H401" s="41">
        <v>9999</v>
      </c>
      <c r="I401" s="41">
        <v>0</v>
      </c>
      <c r="J401" s="41">
        <v>0</v>
      </c>
      <c r="K401" s="41">
        <v>9439</v>
      </c>
      <c r="L401" s="41" t="s">
        <v>1049</v>
      </c>
      <c r="M401" s="41">
        <v>560</v>
      </c>
    </row>
    <row r="402" spans="1:13" x14ac:dyDescent="0.25">
      <c r="A402" s="40" t="s">
        <v>1009</v>
      </c>
      <c r="B402" s="40" t="s">
        <v>764</v>
      </c>
      <c r="C402" s="40" t="s">
        <v>60</v>
      </c>
      <c r="D402" s="40" t="s">
        <v>1050</v>
      </c>
      <c r="E402" s="40" t="s">
        <v>162</v>
      </c>
      <c r="F402" s="40" t="s">
        <v>1051</v>
      </c>
      <c r="G402" s="41">
        <v>1</v>
      </c>
      <c r="H402" s="41">
        <v>18500</v>
      </c>
      <c r="I402" s="41">
        <v>0</v>
      </c>
      <c r="J402" s="41">
        <v>0</v>
      </c>
      <c r="K402" s="41">
        <v>17482</v>
      </c>
      <c r="L402" s="41" t="s">
        <v>1052</v>
      </c>
      <c r="M402" s="41">
        <v>1018</v>
      </c>
    </row>
    <row r="403" spans="1:13" x14ac:dyDescent="0.25">
      <c r="A403" s="40" t="s">
        <v>1009</v>
      </c>
      <c r="B403" s="40" t="s">
        <v>764</v>
      </c>
      <c r="C403" s="40" t="s">
        <v>60</v>
      </c>
      <c r="D403" s="40" t="s">
        <v>1053</v>
      </c>
      <c r="E403" s="40" t="s">
        <v>30</v>
      </c>
      <c r="F403" s="40" t="s">
        <v>322</v>
      </c>
      <c r="G403" s="41">
        <v>1</v>
      </c>
      <c r="H403" s="41">
        <v>36000</v>
      </c>
      <c r="I403" s="41">
        <v>0</v>
      </c>
      <c r="J403" s="41">
        <v>0</v>
      </c>
      <c r="K403" s="41">
        <v>35123</v>
      </c>
      <c r="L403" s="41" t="s">
        <v>1054</v>
      </c>
      <c r="M403" s="41">
        <v>877</v>
      </c>
    </row>
    <row r="404" spans="1:13" x14ac:dyDescent="0.25">
      <c r="A404" s="40" t="s">
        <v>1009</v>
      </c>
      <c r="B404" s="40" t="s">
        <v>764</v>
      </c>
      <c r="C404" s="40" t="s">
        <v>60</v>
      </c>
      <c r="D404" s="40" t="s">
        <v>1055</v>
      </c>
      <c r="E404" s="40" t="s">
        <v>41</v>
      </c>
      <c r="F404" s="40" t="s">
        <v>856</v>
      </c>
      <c r="G404" s="41">
        <v>1</v>
      </c>
      <c r="H404" s="41">
        <v>19500</v>
      </c>
      <c r="I404" s="41">
        <v>0</v>
      </c>
      <c r="J404" s="41">
        <v>0</v>
      </c>
      <c r="K404" s="41">
        <v>19370</v>
      </c>
      <c r="L404" s="41" t="s">
        <v>1056</v>
      </c>
      <c r="M404" s="41">
        <v>130</v>
      </c>
    </row>
    <row r="405" spans="1:13" x14ac:dyDescent="0.25">
      <c r="A405" s="40" t="s">
        <v>1009</v>
      </c>
      <c r="B405" s="40" t="s">
        <v>764</v>
      </c>
      <c r="C405" s="40" t="s">
        <v>60</v>
      </c>
      <c r="D405" s="40" t="s">
        <v>1057</v>
      </c>
      <c r="E405" s="40" t="s">
        <v>41</v>
      </c>
      <c r="F405" s="40" t="s">
        <v>65</v>
      </c>
      <c r="G405" s="41">
        <v>1</v>
      </c>
      <c r="H405" s="41">
        <v>45999</v>
      </c>
      <c r="I405" s="41">
        <v>0</v>
      </c>
      <c r="J405" s="41">
        <v>0</v>
      </c>
      <c r="K405" s="41">
        <v>42253</v>
      </c>
      <c r="L405" s="41" t="s">
        <v>1058</v>
      </c>
      <c r="M405" s="41">
        <v>3746</v>
      </c>
    </row>
    <row r="406" spans="1:13" x14ac:dyDescent="0.25">
      <c r="A406" s="40" t="s">
        <v>1009</v>
      </c>
      <c r="B406" s="40" t="s">
        <v>764</v>
      </c>
      <c r="C406" s="40" t="s">
        <v>82</v>
      </c>
      <c r="D406" s="40" t="s">
        <v>1059</v>
      </c>
      <c r="E406" s="40" t="s">
        <v>109</v>
      </c>
      <c r="F406" s="40" t="s">
        <v>379</v>
      </c>
      <c r="G406" s="41">
        <v>1</v>
      </c>
      <c r="H406" s="41">
        <v>13700</v>
      </c>
      <c r="I406" s="41">
        <v>0</v>
      </c>
      <c r="J406" s="41">
        <v>0</v>
      </c>
      <c r="K406" s="41">
        <v>13539</v>
      </c>
      <c r="L406" s="41" t="s">
        <v>1060</v>
      </c>
      <c r="M406" s="41">
        <v>161</v>
      </c>
    </row>
    <row r="407" spans="1:13" x14ac:dyDescent="0.25">
      <c r="A407" s="40" t="s">
        <v>1061</v>
      </c>
      <c r="B407" s="40" t="s">
        <v>764</v>
      </c>
      <c r="C407" s="40" t="s">
        <v>28</v>
      </c>
      <c r="D407" s="40" t="s">
        <v>1062</v>
      </c>
      <c r="E407" s="40" t="s">
        <v>41</v>
      </c>
      <c r="F407" s="40" t="s">
        <v>642</v>
      </c>
      <c r="G407" s="41">
        <v>1</v>
      </c>
      <c r="H407" s="41">
        <v>18999</v>
      </c>
      <c r="I407" s="41">
        <v>0</v>
      </c>
      <c r="J407" s="41">
        <v>0</v>
      </c>
      <c r="K407" s="41">
        <v>18454</v>
      </c>
      <c r="L407" s="41" t="s">
        <v>1063</v>
      </c>
      <c r="M407" s="41">
        <v>545</v>
      </c>
    </row>
    <row r="408" spans="1:13" x14ac:dyDescent="0.25">
      <c r="A408" s="40" t="s">
        <v>1061</v>
      </c>
      <c r="B408" s="40" t="s">
        <v>764</v>
      </c>
      <c r="C408" s="40" t="s">
        <v>360</v>
      </c>
      <c r="D408" s="40" t="s">
        <v>1064</v>
      </c>
      <c r="E408" s="40" t="s">
        <v>109</v>
      </c>
      <c r="F408" s="40" t="s">
        <v>1065</v>
      </c>
      <c r="G408" s="41">
        <v>1</v>
      </c>
      <c r="H408" s="41">
        <v>17000</v>
      </c>
      <c r="I408" s="41">
        <v>0</v>
      </c>
      <c r="J408" s="41">
        <v>0</v>
      </c>
      <c r="K408" s="41">
        <v>16391</v>
      </c>
      <c r="L408" s="41" t="s">
        <v>1066</v>
      </c>
      <c r="M408" s="41">
        <v>609</v>
      </c>
    </row>
    <row r="409" spans="1:13" x14ac:dyDescent="0.25">
      <c r="A409" s="40" t="s">
        <v>1061</v>
      </c>
      <c r="B409" s="40" t="s">
        <v>764</v>
      </c>
      <c r="C409" s="40" t="s">
        <v>114</v>
      </c>
      <c r="D409" s="40" t="s">
        <v>1067</v>
      </c>
      <c r="E409" s="40" t="s">
        <v>15</v>
      </c>
      <c r="F409" s="40" t="s">
        <v>1068</v>
      </c>
      <c r="G409" s="41">
        <v>1</v>
      </c>
      <c r="H409" s="41">
        <v>24000</v>
      </c>
      <c r="I409" s="41">
        <v>0</v>
      </c>
      <c r="J409" s="41">
        <v>0</v>
      </c>
      <c r="K409" s="41">
        <v>23404</v>
      </c>
      <c r="L409" s="41" t="s">
        <v>1069</v>
      </c>
      <c r="M409" s="41">
        <v>596</v>
      </c>
    </row>
    <row r="410" spans="1:13" x14ac:dyDescent="0.25">
      <c r="A410" s="40" t="s">
        <v>1061</v>
      </c>
      <c r="B410" s="40" t="s">
        <v>764</v>
      </c>
      <c r="C410" s="40" t="s">
        <v>114</v>
      </c>
      <c r="D410" s="40" t="s">
        <v>1070</v>
      </c>
      <c r="E410" s="40" t="s">
        <v>24</v>
      </c>
      <c r="F410" s="40" t="s">
        <v>1071</v>
      </c>
      <c r="G410" s="41">
        <v>1</v>
      </c>
      <c r="H410" s="41">
        <v>134500</v>
      </c>
      <c r="I410" s="41">
        <v>0</v>
      </c>
      <c r="J410" s="41">
        <v>0</v>
      </c>
      <c r="K410" s="41">
        <v>132212.43</v>
      </c>
      <c r="L410" s="41" t="s">
        <v>1072</v>
      </c>
      <c r="M410" s="41">
        <v>2287.5700000000002</v>
      </c>
    </row>
    <row r="411" spans="1:13" x14ac:dyDescent="0.25">
      <c r="A411" s="40" t="s">
        <v>1061</v>
      </c>
      <c r="B411" s="40" t="s">
        <v>764</v>
      </c>
      <c r="C411" s="40" t="s">
        <v>114</v>
      </c>
      <c r="D411" s="40" t="s">
        <v>1073</v>
      </c>
      <c r="E411" s="40" t="s">
        <v>24</v>
      </c>
      <c r="F411" s="40" t="s">
        <v>132</v>
      </c>
      <c r="G411" s="41">
        <v>1</v>
      </c>
      <c r="H411" s="41">
        <v>22300</v>
      </c>
      <c r="I411" s="41">
        <v>0</v>
      </c>
      <c r="J411" s="41">
        <v>0</v>
      </c>
      <c r="K411" s="41">
        <v>21968</v>
      </c>
      <c r="L411" s="41" t="s">
        <v>1074</v>
      </c>
      <c r="M411" s="41">
        <v>332</v>
      </c>
    </row>
    <row r="412" spans="1:13" x14ac:dyDescent="0.25">
      <c r="A412" s="40" t="s">
        <v>1061</v>
      </c>
      <c r="B412" s="40" t="s">
        <v>764</v>
      </c>
      <c r="C412" s="40" t="s">
        <v>114</v>
      </c>
      <c r="D412" s="40" t="s">
        <v>1075</v>
      </c>
      <c r="E412" s="40" t="s">
        <v>24</v>
      </c>
      <c r="F412" s="40" t="s">
        <v>466</v>
      </c>
      <c r="G412" s="41">
        <v>1</v>
      </c>
      <c r="H412" s="41">
        <v>16000</v>
      </c>
      <c r="I412" s="41">
        <v>0</v>
      </c>
      <c r="J412" s="41">
        <v>0</v>
      </c>
      <c r="K412" s="41">
        <v>15000</v>
      </c>
      <c r="L412" s="41" t="s">
        <v>1076</v>
      </c>
      <c r="M412" s="41">
        <v>1000</v>
      </c>
    </row>
    <row r="413" spans="1:13" x14ac:dyDescent="0.25">
      <c r="A413" s="40" t="s">
        <v>1061</v>
      </c>
      <c r="B413" s="40" t="s">
        <v>764</v>
      </c>
      <c r="C413" s="40" t="s">
        <v>114</v>
      </c>
      <c r="D413" s="40" t="s">
        <v>1077</v>
      </c>
      <c r="E413" s="40" t="s">
        <v>95</v>
      </c>
      <c r="F413" s="40" t="s">
        <v>1078</v>
      </c>
      <c r="G413" s="41">
        <v>1</v>
      </c>
      <c r="H413" s="41">
        <v>15000</v>
      </c>
      <c r="I413" s="41">
        <v>0</v>
      </c>
      <c r="J413" s="41">
        <v>0</v>
      </c>
      <c r="K413" s="41">
        <v>14440</v>
      </c>
      <c r="L413" s="41" t="s">
        <v>1079</v>
      </c>
      <c r="M413" s="41">
        <v>560</v>
      </c>
    </row>
    <row r="414" spans="1:13" x14ac:dyDescent="0.25">
      <c r="A414" s="40" t="s">
        <v>1061</v>
      </c>
      <c r="B414" s="40" t="s">
        <v>764</v>
      </c>
      <c r="C414" s="40" t="s">
        <v>114</v>
      </c>
      <c r="D414" s="40" t="s">
        <v>1080</v>
      </c>
      <c r="E414" s="40" t="s">
        <v>95</v>
      </c>
      <c r="F414" s="40" t="s">
        <v>1081</v>
      </c>
      <c r="G414" s="41">
        <v>1</v>
      </c>
      <c r="H414" s="41">
        <v>17900</v>
      </c>
      <c r="I414" s="41">
        <v>0</v>
      </c>
      <c r="J414" s="41">
        <v>0</v>
      </c>
      <c r="K414" s="41">
        <v>17834</v>
      </c>
      <c r="L414" s="41" t="s">
        <v>1082</v>
      </c>
      <c r="M414" s="41">
        <v>66</v>
      </c>
    </row>
    <row r="415" spans="1:13" x14ac:dyDescent="0.25">
      <c r="A415" s="40" t="s">
        <v>1061</v>
      </c>
      <c r="B415" s="40" t="s">
        <v>764</v>
      </c>
      <c r="C415" s="40" t="s">
        <v>114</v>
      </c>
      <c r="D415" s="40" t="s">
        <v>1083</v>
      </c>
      <c r="E415" s="40" t="s">
        <v>109</v>
      </c>
      <c r="F415" s="40" t="s">
        <v>1084</v>
      </c>
      <c r="G415" s="41">
        <v>1</v>
      </c>
      <c r="H415" s="41">
        <v>12000</v>
      </c>
      <c r="I415" s="41">
        <v>0</v>
      </c>
      <c r="J415" s="41">
        <v>0</v>
      </c>
      <c r="K415" s="41">
        <v>11281</v>
      </c>
      <c r="L415" s="41" t="s">
        <v>1085</v>
      </c>
      <c r="M415" s="41">
        <v>719</v>
      </c>
    </row>
    <row r="416" spans="1:13" x14ac:dyDescent="0.25">
      <c r="A416" s="40" t="s">
        <v>1061</v>
      </c>
      <c r="B416" s="40" t="s">
        <v>764</v>
      </c>
      <c r="C416" s="40" t="s">
        <v>114</v>
      </c>
      <c r="D416" s="40" t="s">
        <v>1086</v>
      </c>
      <c r="E416" s="40" t="s">
        <v>162</v>
      </c>
      <c r="F416" s="40" t="s">
        <v>132</v>
      </c>
      <c r="G416" s="41">
        <v>1</v>
      </c>
      <c r="H416" s="41">
        <v>22400</v>
      </c>
      <c r="I416" s="41">
        <v>0</v>
      </c>
      <c r="J416" s="41">
        <v>0</v>
      </c>
      <c r="K416" s="41">
        <v>21968</v>
      </c>
      <c r="L416" s="41" t="s">
        <v>1087</v>
      </c>
      <c r="M416" s="41">
        <v>432</v>
      </c>
    </row>
    <row r="417" spans="1:13" x14ac:dyDescent="0.25">
      <c r="A417" s="40" t="s">
        <v>1061</v>
      </c>
      <c r="B417" s="40" t="s">
        <v>764</v>
      </c>
      <c r="C417" s="40" t="s">
        <v>114</v>
      </c>
      <c r="D417" s="40" t="s">
        <v>1088</v>
      </c>
      <c r="E417" s="40" t="s">
        <v>162</v>
      </c>
      <c r="F417" s="40" t="s">
        <v>1089</v>
      </c>
      <c r="G417" s="41">
        <v>1</v>
      </c>
      <c r="H417" s="41">
        <v>160000</v>
      </c>
      <c r="I417" s="41">
        <v>0</v>
      </c>
      <c r="J417" s="41">
        <v>0</v>
      </c>
      <c r="K417" s="41">
        <v>163057</v>
      </c>
      <c r="L417" s="41" t="s">
        <v>1090</v>
      </c>
      <c r="M417" s="41">
        <f>H417-K417</f>
        <v>-3057</v>
      </c>
    </row>
    <row r="418" spans="1:13" x14ac:dyDescent="0.25">
      <c r="A418" s="40" t="s">
        <v>1061</v>
      </c>
      <c r="B418" s="40" t="s">
        <v>764</v>
      </c>
      <c r="C418" s="40" t="s">
        <v>114</v>
      </c>
      <c r="D418" s="40" t="s">
        <v>1091</v>
      </c>
      <c r="E418" s="40" t="s">
        <v>30</v>
      </c>
      <c r="F418" s="40" t="s">
        <v>1092</v>
      </c>
      <c r="G418" s="41">
        <v>1</v>
      </c>
      <c r="H418" s="41">
        <v>20100</v>
      </c>
      <c r="I418" s="41">
        <v>0</v>
      </c>
      <c r="J418" s="41">
        <v>0</v>
      </c>
      <c r="K418" s="41">
        <v>19711</v>
      </c>
      <c r="L418" s="41" t="s">
        <v>1093</v>
      </c>
      <c r="M418" s="41">
        <v>389</v>
      </c>
    </row>
    <row r="419" spans="1:13" x14ac:dyDescent="0.25">
      <c r="A419" s="40" t="s">
        <v>1061</v>
      </c>
      <c r="B419" s="40" t="s">
        <v>764</v>
      </c>
      <c r="C419" s="40" t="s">
        <v>114</v>
      </c>
      <c r="D419" s="40" t="s">
        <v>1094</v>
      </c>
      <c r="E419" s="40" t="s">
        <v>34</v>
      </c>
      <c r="F419" s="40" t="s">
        <v>173</v>
      </c>
      <c r="G419" s="41">
        <v>1</v>
      </c>
      <c r="H419" s="41">
        <v>23000</v>
      </c>
      <c r="I419" s="41">
        <v>0</v>
      </c>
      <c r="J419" s="41">
        <v>0</v>
      </c>
      <c r="K419" s="41">
        <v>21968</v>
      </c>
      <c r="L419" s="41" t="s">
        <v>1095</v>
      </c>
      <c r="M419" s="41">
        <v>1032</v>
      </c>
    </row>
    <row r="420" spans="1:13" x14ac:dyDescent="0.25">
      <c r="A420" s="40" t="s">
        <v>1061</v>
      </c>
      <c r="B420" s="40" t="s">
        <v>764</v>
      </c>
      <c r="C420" s="40" t="s">
        <v>114</v>
      </c>
      <c r="D420" s="40" t="s">
        <v>1096</v>
      </c>
      <c r="E420" s="40" t="s">
        <v>41</v>
      </c>
      <c r="F420" s="40" t="s">
        <v>1084</v>
      </c>
      <c r="G420" s="41">
        <v>1</v>
      </c>
      <c r="H420" s="41">
        <v>11500</v>
      </c>
      <c r="I420" s="41">
        <v>0</v>
      </c>
      <c r="J420" s="41">
        <v>0</v>
      </c>
      <c r="K420" s="41">
        <v>12184</v>
      </c>
      <c r="L420" s="41" t="s">
        <v>1097</v>
      </c>
      <c r="M420" s="41">
        <v>-684</v>
      </c>
    </row>
    <row r="421" spans="1:13" x14ac:dyDescent="0.25">
      <c r="A421" s="40" t="s">
        <v>1061</v>
      </c>
      <c r="B421" s="40" t="s">
        <v>764</v>
      </c>
      <c r="C421" s="40" t="s">
        <v>114</v>
      </c>
      <c r="D421" s="40" t="s">
        <v>1098</v>
      </c>
      <c r="E421" s="40" t="s">
        <v>41</v>
      </c>
      <c r="F421" s="40" t="s">
        <v>1084</v>
      </c>
      <c r="G421" s="41">
        <v>1</v>
      </c>
      <c r="H421" s="41">
        <v>11500</v>
      </c>
      <c r="I421" s="41">
        <v>0</v>
      </c>
      <c r="J421" s="41">
        <v>0</v>
      </c>
      <c r="K421" s="41">
        <v>12184</v>
      </c>
      <c r="L421" s="41" t="s">
        <v>1099</v>
      </c>
      <c r="M421" s="41">
        <v>-684</v>
      </c>
    </row>
    <row r="422" spans="1:13" x14ac:dyDescent="0.25">
      <c r="A422" s="40" t="s">
        <v>1061</v>
      </c>
      <c r="B422" s="40" t="s">
        <v>764</v>
      </c>
      <c r="C422" s="40" t="s">
        <v>114</v>
      </c>
      <c r="D422" s="40" t="s">
        <v>1100</v>
      </c>
      <c r="E422" s="40" t="s">
        <v>45</v>
      </c>
      <c r="F422" s="40" t="s">
        <v>1101</v>
      </c>
      <c r="G422" s="41">
        <v>1</v>
      </c>
      <c r="H422" s="41">
        <v>22500</v>
      </c>
      <c r="I422" s="41">
        <v>0</v>
      </c>
      <c r="J422" s="41">
        <v>0</v>
      </c>
      <c r="K422" s="41">
        <v>22782</v>
      </c>
      <c r="L422" s="41" t="s">
        <v>1102</v>
      </c>
      <c r="M422" s="41">
        <v>-282</v>
      </c>
    </row>
    <row r="423" spans="1:13" x14ac:dyDescent="0.25">
      <c r="A423" s="40" t="s">
        <v>1061</v>
      </c>
      <c r="B423" s="40" t="s">
        <v>764</v>
      </c>
      <c r="C423" s="40" t="s">
        <v>56</v>
      </c>
      <c r="D423" s="40" t="s">
        <v>1103</v>
      </c>
      <c r="E423" s="40" t="s">
        <v>41</v>
      </c>
      <c r="F423" s="40" t="s">
        <v>821</v>
      </c>
      <c r="G423" s="41">
        <v>1</v>
      </c>
      <c r="H423" s="41">
        <v>20500</v>
      </c>
      <c r="I423" s="41">
        <v>0</v>
      </c>
      <c r="J423" s="41">
        <v>0</v>
      </c>
      <c r="K423" s="41">
        <v>18601</v>
      </c>
      <c r="L423" s="41" t="s">
        <v>1104</v>
      </c>
      <c r="M423" s="41">
        <v>1899</v>
      </c>
    </row>
    <row r="424" spans="1:13" x14ac:dyDescent="0.25">
      <c r="A424" s="40" t="s">
        <v>1105</v>
      </c>
      <c r="B424" s="40" t="s">
        <v>12</v>
      </c>
      <c r="C424" s="40" t="s">
        <v>87</v>
      </c>
      <c r="D424" s="40" t="s">
        <v>1106</v>
      </c>
      <c r="E424" s="40" t="s">
        <v>24</v>
      </c>
      <c r="F424" s="40" t="s">
        <v>1107</v>
      </c>
      <c r="G424" s="41">
        <v>1</v>
      </c>
      <c r="H424" s="41">
        <v>149900</v>
      </c>
      <c r="I424" s="41">
        <v>0</v>
      </c>
      <c r="J424" s="41">
        <v>0</v>
      </c>
      <c r="K424" s="41">
        <v>145373</v>
      </c>
      <c r="L424" s="41" t="s">
        <v>1108</v>
      </c>
      <c r="M424" s="41">
        <v>4527</v>
      </c>
    </row>
    <row r="425" spans="1:13" x14ac:dyDescent="0.25">
      <c r="A425" s="40" t="s">
        <v>1105</v>
      </c>
      <c r="B425" s="40" t="s">
        <v>12</v>
      </c>
      <c r="C425" s="40" t="s">
        <v>87</v>
      </c>
      <c r="D425" s="40" t="s">
        <v>1109</v>
      </c>
      <c r="E425" s="40" t="s">
        <v>41</v>
      </c>
      <c r="F425" s="40" t="s">
        <v>399</v>
      </c>
      <c r="G425" s="41">
        <v>1</v>
      </c>
      <c r="H425" s="41">
        <v>69000</v>
      </c>
      <c r="I425" s="41">
        <v>0</v>
      </c>
      <c r="J425" s="41">
        <v>0</v>
      </c>
      <c r="K425" s="41">
        <v>67789</v>
      </c>
      <c r="L425" s="41" t="s">
        <v>1110</v>
      </c>
      <c r="M425" s="41">
        <v>1211</v>
      </c>
    </row>
    <row r="426" spans="1:13" x14ac:dyDescent="0.25">
      <c r="A426" s="40" t="s">
        <v>1105</v>
      </c>
      <c r="B426" s="40" t="s">
        <v>12</v>
      </c>
      <c r="C426" s="40" t="s">
        <v>28</v>
      </c>
      <c r="D426" s="40" t="s">
        <v>1111</v>
      </c>
      <c r="E426" s="40" t="s">
        <v>34</v>
      </c>
      <c r="F426" s="40" t="s">
        <v>518</v>
      </c>
      <c r="G426" s="41">
        <v>1</v>
      </c>
      <c r="H426" s="41">
        <v>16500</v>
      </c>
      <c r="I426" s="41">
        <v>0</v>
      </c>
      <c r="J426" s="41">
        <v>0</v>
      </c>
      <c r="K426" s="41">
        <v>16511</v>
      </c>
      <c r="L426" s="41" t="s">
        <v>1112</v>
      </c>
      <c r="M426" s="41">
        <v>-11</v>
      </c>
    </row>
    <row r="427" spans="1:13" x14ac:dyDescent="0.25">
      <c r="A427" s="40" t="s">
        <v>1105</v>
      </c>
      <c r="B427" s="40" t="s">
        <v>12</v>
      </c>
      <c r="C427" s="40" t="s">
        <v>22</v>
      </c>
      <c r="D427" s="40" t="s">
        <v>1113</v>
      </c>
      <c r="E427" s="40" t="s">
        <v>45</v>
      </c>
      <c r="F427" s="40" t="s">
        <v>1114</v>
      </c>
      <c r="G427" s="41">
        <v>1</v>
      </c>
      <c r="H427" s="41">
        <v>49500</v>
      </c>
      <c r="I427" s="41">
        <v>0</v>
      </c>
      <c r="J427" s="41">
        <v>0</v>
      </c>
      <c r="K427" s="41">
        <v>48915</v>
      </c>
      <c r="L427" s="41" t="s">
        <v>1115</v>
      </c>
      <c r="M427" s="41">
        <v>585</v>
      </c>
    </row>
    <row r="428" spans="1:13" x14ac:dyDescent="0.25">
      <c r="A428" s="40" t="s">
        <v>1105</v>
      </c>
      <c r="B428" s="40" t="s">
        <v>12</v>
      </c>
      <c r="C428" s="40" t="s">
        <v>360</v>
      </c>
      <c r="D428" s="40" t="s">
        <v>1116</v>
      </c>
      <c r="E428" s="40" t="s">
        <v>15</v>
      </c>
      <c r="F428" s="40" t="s">
        <v>1117</v>
      </c>
      <c r="G428" s="41">
        <v>1</v>
      </c>
      <c r="H428" s="41">
        <v>30500</v>
      </c>
      <c r="I428" s="41">
        <v>0</v>
      </c>
      <c r="J428" s="41">
        <v>0</v>
      </c>
      <c r="K428" s="41">
        <v>30801</v>
      </c>
      <c r="L428" s="41" t="s">
        <v>1118</v>
      </c>
      <c r="M428" s="41">
        <v>-301</v>
      </c>
    </row>
    <row r="429" spans="1:13" x14ac:dyDescent="0.25">
      <c r="A429" s="40" t="s">
        <v>1105</v>
      </c>
      <c r="B429" s="40" t="s">
        <v>12</v>
      </c>
      <c r="C429" s="40" t="s">
        <v>360</v>
      </c>
      <c r="D429" s="40" t="s">
        <v>1119</v>
      </c>
      <c r="E429" s="40" t="s">
        <v>24</v>
      </c>
      <c r="F429" s="40" t="s">
        <v>737</v>
      </c>
      <c r="G429" s="41">
        <v>1</v>
      </c>
      <c r="H429" s="41">
        <v>24849</v>
      </c>
      <c r="I429" s="41">
        <v>0</v>
      </c>
      <c r="J429" s="41">
        <v>0</v>
      </c>
      <c r="K429" s="41">
        <v>25201</v>
      </c>
      <c r="L429" s="41" t="s">
        <v>1120</v>
      </c>
      <c r="M429" s="41">
        <v>-352</v>
      </c>
    </row>
    <row r="430" spans="1:13" x14ac:dyDescent="0.25">
      <c r="A430" s="40" t="s">
        <v>1105</v>
      </c>
      <c r="B430" s="40" t="s">
        <v>12</v>
      </c>
      <c r="C430" s="40" t="s">
        <v>360</v>
      </c>
      <c r="D430" s="40" t="s">
        <v>1121</v>
      </c>
      <c r="E430" s="40" t="s">
        <v>24</v>
      </c>
      <c r="F430" s="40" t="s">
        <v>1122</v>
      </c>
      <c r="G430" s="41">
        <v>1</v>
      </c>
      <c r="H430" s="41">
        <v>16500</v>
      </c>
      <c r="I430" s="41">
        <v>0</v>
      </c>
      <c r="J430" s="41">
        <v>0</v>
      </c>
      <c r="K430" s="41">
        <v>17023</v>
      </c>
      <c r="L430" s="41" t="s">
        <v>1123</v>
      </c>
      <c r="M430" s="41">
        <v>-523</v>
      </c>
    </row>
    <row r="431" spans="1:13" x14ac:dyDescent="0.25">
      <c r="A431" s="40" t="s">
        <v>1105</v>
      </c>
      <c r="B431" s="40" t="s">
        <v>12</v>
      </c>
      <c r="C431" s="40" t="s">
        <v>360</v>
      </c>
      <c r="D431" s="40" t="s">
        <v>1124</v>
      </c>
      <c r="E431" s="40" t="s">
        <v>24</v>
      </c>
      <c r="F431" s="40" t="s">
        <v>1125</v>
      </c>
      <c r="G431" s="41">
        <v>1</v>
      </c>
      <c r="H431" s="41">
        <v>42923</v>
      </c>
      <c r="I431" s="41">
        <v>0</v>
      </c>
      <c r="J431" s="41">
        <v>0</v>
      </c>
      <c r="K431" s="41">
        <v>42081</v>
      </c>
      <c r="L431" s="41" t="s">
        <v>1126</v>
      </c>
      <c r="M431" s="41">
        <v>842</v>
      </c>
    </row>
    <row r="432" spans="1:13" x14ac:dyDescent="0.25">
      <c r="A432" s="40" t="s">
        <v>1105</v>
      </c>
      <c r="B432" s="40" t="s">
        <v>12</v>
      </c>
      <c r="C432" s="40" t="s">
        <v>360</v>
      </c>
      <c r="D432" s="40" t="s">
        <v>1127</v>
      </c>
      <c r="E432" s="40" t="s">
        <v>162</v>
      </c>
      <c r="F432" s="40" t="s">
        <v>734</v>
      </c>
      <c r="G432" s="41">
        <v>1</v>
      </c>
      <c r="H432" s="41">
        <v>35349</v>
      </c>
      <c r="I432" s="41">
        <v>0</v>
      </c>
      <c r="J432" s="41">
        <v>0</v>
      </c>
      <c r="K432" s="41">
        <v>34683</v>
      </c>
      <c r="L432" s="41" t="s">
        <v>1128</v>
      </c>
      <c r="M432" s="41">
        <v>666</v>
      </c>
    </row>
    <row r="433" spans="1:13" x14ac:dyDescent="0.25">
      <c r="A433" s="40" t="s">
        <v>1105</v>
      </c>
      <c r="B433" s="40" t="s">
        <v>12</v>
      </c>
      <c r="C433" s="40" t="s">
        <v>360</v>
      </c>
      <c r="D433" s="40" t="s">
        <v>1129</v>
      </c>
      <c r="E433" s="40" t="s">
        <v>34</v>
      </c>
      <c r="F433" s="40" t="s">
        <v>651</v>
      </c>
      <c r="G433" s="41">
        <v>1</v>
      </c>
      <c r="H433" s="41">
        <v>16300</v>
      </c>
      <c r="I433" s="41">
        <v>0</v>
      </c>
      <c r="J433" s="41">
        <v>0</v>
      </c>
      <c r="K433" s="41">
        <v>16130</v>
      </c>
      <c r="L433" s="41" t="s">
        <v>1130</v>
      </c>
      <c r="M433" s="41">
        <v>170</v>
      </c>
    </row>
    <row r="434" spans="1:13" x14ac:dyDescent="0.25">
      <c r="A434" s="40" t="s">
        <v>1105</v>
      </c>
      <c r="B434" s="40" t="s">
        <v>12</v>
      </c>
      <c r="C434" s="40" t="s">
        <v>360</v>
      </c>
      <c r="D434" s="40" t="s">
        <v>1131</v>
      </c>
      <c r="E434" s="40" t="s">
        <v>41</v>
      </c>
      <c r="F434" s="40" t="s">
        <v>745</v>
      </c>
      <c r="G434" s="41">
        <v>1</v>
      </c>
      <c r="H434" s="41">
        <v>18000</v>
      </c>
      <c r="I434" s="41">
        <v>0</v>
      </c>
      <c r="J434" s="41">
        <v>0</v>
      </c>
      <c r="K434" s="41">
        <v>17969</v>
      </c>
      <c r="L434" s="41" t="s">
        <v>1132</v>
      </c>
      <c r="M434" s="41">
        <v>31</v>
      </c>
    </row>
    <row r="435" spans="1:13" x14ac:dyDescent="0.25">
      <c r="A435" s="40" t="s">
        <v>1105</v>
      </c>
      <c r="B435" s="40" t="s">
        <v>12</v>
      </c>
      <c r="C435" s="40" t="s">
        <v>360</v>
      </c>
      <c r="D435" s="40" t="s">
        <v>1133</v>
      </c>
      <c r="E435" s="40" t="s">
        <v>41</v>
      </c>
      <c r="F435" s="40" t="s">
        <v>745</v>
      </c>
      <c r="G435" s="41">
        <v>1</v>
      </c>
      <c r="H435" s="41">
        <v>18000</v>
      </c>
      <c r="I435" s="41">
        <v>0</v>
      </c>
      <c r="J435" s="41">
        <v>0</v>
      </c>
      <c r="K435" s="41">
        <v>17969</v>
      </c>
      <c r="L435" s="41" t="s">
        <v>1134</v>
      </c>
      <c r="M435" s="41">
        <v>31</v>
      </c>
    </row>
    <row r="436" spans="1:13" x14ac:dyDescent="0.25">
      <c r="A436" s="40" t="s">
        <v>1105</v>
      </c>
      <c r="B436" s="40" t="s">
        <v>12</v>
      </c>
      <c r="C436" s="40" t="s">
        <v>50</v>
      </c>
      <c r="D436" s="40" t="s">
        <v>1135</v>
      </c>
      <c r="E436" s="40" t="s">
        <v>135</v>
      </c>
      <c r="F436" s="40" t="s">
        <v>818</v>
      </c>
      <c r="G436" s="41">
        <v>1</v>
      </c>
      <c r="H436" s="41">
        <v>10500</v>
      </c>
      <c r="I436" s="41">
        <v>0</v>
      </c>
      <c r="J436" s="41">
        <v>0</v>
      </c>
      <c r="K436" s="41">
        <v>10303</v>
      </c>
      <c r="L436" s="41" t="s">
        <v>1136</v>
      </c>
      <c r="M436" s="41">
        <v>197</v>
      </c>
    </row>
    <row r="437" spans="1:13" x14ac:dyDescent="0.25">
      <c r="A437" s="40" t="s">
        <v>1105</v>
      </c>
      <c r="B437" s="40" t="s">
        <v>12</v>
      </c>
      <c r="C437" s="40" t="s">
        <v>50</v>
      </c>
      <c r="D437" s="40" t="s">
        <v>1137</v>
      </c>
      <c r="E437" s="40" t="s">
        <v>109</v>
      </c>
      <c r="F437" s="40" t="s">
        <v>991</v>
      </c>
      <c r="G437" s="41">
        <v>1</v>
      </c>
      <c r="H437" s="41">
        <v>31500</v>
      </c>
      <c r="I437" s="41">
        <v>0</v>
      </c>
      <c r="J437" s="41">
        <v>0</v>
      </c>
      <c r="K437" s="41">
        <v>31010</v>
      </c>
      <c r="L437" s="41" t="s">
        <v>1138</v>
      </c>
      <c r="M437" s="41">
        <v>490</v>
      </c>
    </row>
    <row r="438" spans="1:13" x14ac:dyDescent="0.25">
      <c r="A438" s="40" t="s">
        <v>1105</v>
      </c>
      <c r="B438" s="40" t="s">
        <v>12</v>
      </c>
      <c r="C438" s="40" t="s">
        <v>50</v>
      </c>
      <c r="D438" s="40" t="s">
        <v>1139</v>
      </c>
      <c r="E438" s="40" t="s">
        <v>109</v>
      </c>
      <c r="F438" s="40" t="s">
        <v>1140</v>
      </c>
      <c r="G438" s="41">
        <v>1</v>
      </c>
      <c r="H438" s="41">
        <v>28000</v>
      </c>
      <c r="I438" s="41">
        <v>0</v>
      </c>
      <c r="J438" s="41">
        <v>0</v>
      </c>
      <c r="K438" s="41">
        <v>27362</v>
      </c>
      <c r="L438" s="41" t="s">
        <v>1141</v>
      </c>
      <c r="M438" s="41">
        <v>638</v>
      </c>
    </row>
    <row r="439" spans="1:13" x14ac:dyDescent="0.25">
      <c r="A439" s="40" t="s">
        <v>1105</v>
      </c>
      <c r="B439" s="40" t="s">
        <v>12</v>
      </c>
      <c r="C439" s="40" t="s">
        <v>50</v>
      </c>
      <c r="D439" s="40" t="s">
        <v>1142</v>
      </c>
      <c r="E439" s="40" t="s">
        <v>162</v>
      </c>
      <c r="F439" s="40" t="s">
        <v>1143</v>
      </c>
      <c r="G439" s="41">
        <v>1</v>
      </c>
      <c r="H439" s="41">
        <v>15800</v>
      </c>
      <c r="I439" s="41">
        <v>0</v>
      </c>
      <c r="J439" s="41">
        <v>0</v>
      </c>
      <c r="K439" s="41">
        <v>15455</v>
      </c>
      <c r="L439" s="41" t="s">
        <v>1144</v>
      </c>
      <c r="M439" s="41">
        <v>345</v>
      </c>
    </row>
    <row r="440" spans="1:13" x14ac:dyDescent="0.25">
      <c r="A440" s="40" t="s">
        <v>1105</v>
      </c>
      <c r="B440" s="40" t="s">
        <v>12</v>
      </c>
      <c r="C440" s="40" t="s">
        <v>50</v>
      </c>
      <c r="D440" s="40" t="s">
        <v>1145</v>
      </c>
      <c r="E440" s="40" t="s">
        <v>41</v>
      </c>
      <c r="F440" s="40" t="s">
        <v>52</v>
      </c>
      <c r="G440" s="41">
        <v>1</v>
      </c>
      <c r="H440" s="41">
        <v>13500</v>
      </c>
      <c r="I440" s="41">
        <v>0</v>
      </c>
      <c r="J440" s="41">
        <v>0</v>
      </c>
      <c r="K440" s="41">
        <v>13582</v>
      </c>
      <c r="L440" s="41" t="s">
        <v>1146</v>
      </c>
      <c r="M440" s="41">
        <v>-82</v>
      </c>
    </row>
    <row r="441" spans="1:13" x14ac:dyDescent="0.25">
      <c r="A441" s="40" t="s">
        <v>1105</v>
      </c>
      <c r="B441" s="40" t="s">
        <v>12</v>
      </c>
      <c r="C441" s="40" t="s">
        <v>114</v>
      </c>
      <c r="D441" s="40" t="s">
        <v>1147</v>
      </c>
      <c r="E441" s="40" t="s">
        <v>15</v>
      </c>
      <c r="F441" s="40" t="s">
        <v>127</v>
      </c>
      <c r="G441" s="41">
        <v>1</v>
      </c>
      <c r="H441" s="41">
        <v>19000</v>
      </c>
      <c r="I441" s="41">
        <v>0</v>
      </c>
      <c r="J441" s="41">
        <v>0</v>
      </c>
      <c r="K441" s="41">
        <v>17790.919999999998</v>
      </c>
      <c r="L441" s="41" t="s">
        <v>1148</v>
      </c>
      <c r="M441" s="41">
        <v>1209.08</v>
      </c>
    </row>
    <row r="442" spans="1:13" x14ac:dyDescent="0.25">
      <c r="A442" s="40" t="s">
        <v>1105</v>
      </c>
      <c r="B442" s="40" t="s">
        <v>12</v>
      </c>
      <c r="C442" s="40" t="s">
        <v>114</v>
      </c>
      <c r="D442" s="40" t="s">
        <v>1149</v>
      </c>
      <c r="E442" s="40" t="s">
        <v>24</v>
      </c>
      <c r="F442" s="40" t="s">
        <v>580</v>
      </c>
      <c r="G442" s="41">
        <v>1</v>
      </c>
      <c r="H442" s="41">
        <v>17600</v>
      </c>
      <c r="I442" s="41">
        <v>0</v>
      </c>
      <c r="J442" s="41">
        <v>0</v>
      </c>
      <c r="K442" s="41">
        <v>17528</v>
      </c>
      <c r="L442" s="41" t="s">
        <v>1150</v>
      </c>
      <c r="M442" s="41">
        <v>72</v>
      </c>
    </row>
    <row r="443" spans="1:13" x14ac:dyDescent="0.25">
      <c r="A443" s="40" t="s">
        <v>1105</v>
      </c>
      <c r="B443" s="40" t="s">
        <v>12</v>
      </c>
      <c r="C443" s="40" t="s">
        <v>114</v>
      </c>
      <c r="D443" s="40" t="s">
        <v>1151</v>
      </c>
      <c r="E443" s="40" t="s">
        <v>95</v>
      </c>
      <c r="F443" s="40" t="s">
        <v>132</v>
      </c>
      <c r="G443" s="41">
        <v>1</v>
      </c>
      <c r="H443" s="41">
        <v>22300</v>
      </c>
      <c r="I443" s="41">
        <v>0</v>
      </c>
      <c r="J443" s="41">
        <v>0</v>
      </c>
      <c r="K443" s="41">
        <v>21968</v>
      </c>
      <c r="L443" s="41" t="s">
        <v>1152</v>
      </c>
      <c r="M443" s="41">
        <v>332</v>
      </c>
    </row>
    <row r="444" spans="1:13" x14ac:dyDescent="0.25">
      <c r="A444" s="40" t="s">
        <v>1105</v>
      </c>
      <c r="B444" s="40" t="s">
        <v>12</v>
      </c>
      <c r="C444" s="40" t="s">
        <v>114</v>
      </c>
      <c r="D444" s="40" t="s">
        <v>1153</v>
      </c>
      <c r="E444" s="40" t="s">
        <v>41</v>
      </c>
      <c r="F444" s="40" t="s">
        <v>1071</v>
      </c>
      <c r="G444" s="41">
        <v>1</v>
      </c>
      <c r="H444" s="41">
        <v>135000</v>
      </c>
      <c r="I444" s="41">
        <v>0</v>
      </c>
      <c r="J444" s="41">
        <v>0</v>
      </c>
      <c r="K444" s="41">
        <v>132212.43</v>
      </c>
      <c r="L444" s="41" t="s">
        <v>1154</v>
      </c>
      <c r="M444" s="41">
        <v>2787.57</v>
      </c>
    </row>
    <row r="445" spans="1:13" x14ac:dyDescent="0.25">
      <c r="A445" s="40" t="s">
        <v>1155</v>
      </c>
      <c r="B445" s="40" t="s">
        <v>12</v>
      </c>
      <c r="C445" s="40" t="s">
        <v>87</v>
      </c>
      <c r="D445" s="40" t="s">
        <v>1156</v>
      </c>
      <c r="E445" s="40" t="s">
        <v>95</v>
      </c>
      <c r="F445" s="40" t="s">
        <v>1157</v>
      </c>
      <c r="G445" s="41">
        <v>1</v>
      </c>
      <c r="H445" s="41">
        <v>82900</v>
      </c>
      <c r="I445" s="41">
        <v>0</v>
      </c>
      <c r="J445" s="41">
        <v>0</v>
      </c>
      <c r="K445" s="41">
        <v>80397</v>
      </c>
      <c r="L445" s="41" t="s">
        <v>1158</v>
      </c>
      <c r="M445" s="41">
        <v>2503</v>
      </c>
    </row>
    <row r="446" spans="1:13" x14ac:dyDescent="0.25">
      <c r="A446" s="40" t="s">
        <v>1155</v>
      </c>
      <c r="B446" s="40" t="s">
        <v>12</v>
      </c>
      <c r="C446" s="40" t="s">
        <v>87</v>
      </c>
      <c r="D446" s="40" t="s">
        <v>1159</v>
      </c>
      <c r="E446" s="40" t="s">
        <v>45</v>
      </c>
      <c r="F446" s="40" t="s">
        <v>201</v>
      </c>
      <c r="G446" s="41">
        <v>1</v>
      </c>
      <c r="H446" s="41">
        <v>82900</v>
      </c>
      <c r="I446" s="41">
        <v>0</v>
      </c>
      <c r="J446" s="41">
        <v>0</v>
      </c>
      <c r="K446" s="41">
        <v>80397</v>
      </c>
      <c r="L446" s="41" t="s">
        <v>1160</v>
      </c>
      <c r="M446" s="41">
        <v>2503</v>
      </c>
    </row>
    <row r="447" spans="1:13" x14ac:dyDescent="0.25">
      <c r="A447" s="40" t="s">
        <v>1155</v>
      </c>
      <c r="B447" s="40" t="s">
        <v>12</v>
      </c>
      <c r="C447" s="40" t="s">
        <v>13</v>
      </c>
      <c r="D447" s="40" t="s">
        <v>1161</v>
      </c>
      <c r="E447" s="40" t="s">
        <v>45</v>
      </c>
      <c r="F447" s="40" t="s">
        <v>1162</v>
      </c>
      <c r="G447" s="41">
        <v>1</v>
      </c>
      <c r="H447" s="41">
        <v>8200</v>
      </c>
      <c r="I447" s="41">
        <v>0</v>
      </c>
      <c r="J447" s="41">
        <v>0</v>
      </c>
      <c r="K447" s="41">
        <v>8122</v>
      </c>
      <c r="L447" s="41" t="s">
        <v>1163</v>
      </c>
      <c r="M447" s="41">
        <v>78</v>
      </c>
    </row>
    <row r="448" spans="1:13" x14ac:dyDescent="0.25">
      <c r="A448" s="40" t="s">
        <v>1155</v>
      </c>
      <c r="B448" s="40" t="s">
        <v>12</v>
      </c>
      <c r="C448" s="40" t="s">
        <v>28</v>
      </c>
      <c r="D448" s="40" t="s">
        <v>1164</v>
      </c>
      <c r="E448" s="40" t="s">
        <v>95</v>
      </c>
      <c r="F448" s="40" t="s">
        <v>48</v>
      </c>
      <c r="G448" s="41">
        <v>1</v>
      </c>
      <c r="H448" s="41">
        <v>29300</v>
      </c>
      <c r="I448" s="41">
        <v>0</v>
      </c>
      <c r="J448" s="41">
        <v>0</v>
      </c>
      <c r="K448" s="41">
        <v>28862</v>
      </c>
      <c r="L448" s="41" t="s">
        <v>1165</v>
      </c>
      <c r="M448" s="41">
        <v>438</v>
      </c>
    </row>
    <row r="449" spans="1:13" x14ac:dyDescent="0.25">
      <c r="A449" s="40" t="s">
        <v>1155</v>
      </c>
      <c r="B449" s="40" t="s">
        <v>12</v>
      </c>
      <c r="C449" s="40" t="s">
        <v>28</v>
      </c>
      <c r="D449" s="40" t="s">
        <v>1166</v>
      </c>
      <c r="E449" s="40" t="s">
        <v>105</v>
      </c>
      <c r="F449" s="40" t="s">
        <v>38</v>
      </c>
      <c r="G449" s="41">
        <v>1</v>
      </c>
      <c r="H449" s="41">
        <v>12000</v>
      </c>
      <c r="I449" s="41">
        <v>0</v>
      </c>
      <c r="J449" s="41">
        <v>0</v>
      </c>
      <c r="K449" s="41">
        <v>11654</v>
      </c>
      <c r="L449" s="41" t="s">
        <v>1167</v>
      </c>
      <c r="M449" s="41">
        <v>346</v>
      </c>
    </row>
    <row r="450" spans="1:13" x14ac:dyDescent="0.25">
      <c r="A450" s="40" t="s">
        <v>1155</v>
      </c>
      <c r="B450" s="40" t="s">
        <v>12</v>
      </c>
      <c r="C450" s="40" t="s">
        <v>28</v>
      </c>
      <c r="D450" s="40" t="s">
        <v>1168</v>
      </c>
      <c r="E450" s="40" t="s">
        <v>109</v>
      </c>
      <c r="F450" s="40" t="s">
        <v>452</v>
      </c>
      <c r="G450" s="41">
        <v>1</v>
      </c>
      <c r="H450" s="41">
        <v>24500</v>
      </c>
      <c r="I450" s="41">
        <v>0</v>
      </c>
      <c r="J450" s="41">
        <v>0</v>
      </c>
      <c r="K450" s="41">
        <v>24051</v>
      </c>
      <c r="L450" s="41" t="s">
        <v>1169</v>
      </c>
      <c r="M450" s="41">
        <v>449</v>
      </c>
    </row>
    <row r="451" spans="1:13" x14ac:dyDescent="0.25">
      <c r="A451" s="40" t="s">
        <v>1155</v>
      </c>
      <c r="B451" s="40" t="s">
        <v>12</v>
      </c>
      <c r="C451" s="40" t="s">
        <v>28</v>
      </c>
      <c r="D451" s="40" t="s">
        <v>1170</v>
      </c>
      <c r="E451" s="40" t="s">
        <v>109</v>
      </c>
      <c r="F451" s="40" t="s">
        <v>38</v>
      </c>
      <c r="G451" s="41">
        <v>1</v>
      </c>
      <c r="H451" s="41">
        <v>12000</v>
      </c>
      <c r="I451" s="41">
        <v>0</v>
      </c>
      <c r="J451" s="41">
        <v>0</v>
      </c>
      <c r="K451" s="41">
        <v>11654</v>
      </c>
      <c r="L451" s="41" t="s">
        <v>1171</v>
      </c>
      <c r="M451" s="41">
        <v>346</v>
      </c>
    </row>
    <row r="452" spans="1:13" x14ac:dyDescent="0.25">
      <c r="A452" s="40" t="s">
        <v>1155</v>
      </c>
      <c r="B452" s="40" t="s">
        <v>12</v>
      </c>
      <c r="C452" s="40" t="s">
        <v>28</v>
      </c>
      <c r="D452" s="40" t="s">
        <v>1172</v>
      </c>
      <c r="E452" s="40" t="s">
        <v>162</v>
      </c>
      <c r="F452" s="40" t="s">
        <v>413</v>
      </c>
      <c r="G452" s="41">
        <v>1</v>
      </c>
      <c r="H452" s="41">
        <v>14000</v>
      </c>
      <c r="I452" s="41">
        <v>0</v>
      </c>
      <c r="J452" s="41">
        <v>0</v>
      </c>
      <c r="K452" s="41">
        <v>13597</v>
      </c>
      <c r="L452" s="41" t="s">
        <v>1173</v>
      </c>
      <c r="M452" s="41">
        <v>403</v>
      </c>
    </row>
    <row r="453" spans="1:13" x14ac:dyDescent="0.25">
      <c r="A453" s="40" t="s">
        <v>1155</v>
      </c>
      <c r="B453" s="40" t="s">
        <v>12</v>
      </c>
      <c r="C453" s="40" t="s">
        <v>527</v>
      </c>
      <c r="D453" s="40" t="s">
        <v>1174</v>
      </c>
      <c r="E453" s="40" t="s">
        <v>34</v>
      </c>
      <c r="F453" s="40" t="s">
        <v>529</v>
      </c>
      <c r="G453" s="41">
        <v>1</v>
      </c>
      <c r="H453" s="41">
        <v>44000</v>
      </c>
      <c r="I453" s="41">
        <v>0</v>
      </c>
      <c r="J453" s="41">
        <v>0</v>
      </c>
      <c r="K453" s="41">
        <v>43790</v>
      </c>
      <c r="L453" s="41" t="s">
        <v>1175</v>
      </c>
      <c r="M453" s="41">
        <v>210</v>
      </c>
    </row>
    <row r="454" spans="1:13" x14ac:dyDescent="0.25">
      <c r="A454" s="40" t="s">
        <v>1155</v>
      </c>
      <c r="B454" s="40" t="s">
        <v>12</v>
      </c>
      <c r="C454" s="40" t="s">
        <v>527</v>
      </c>
      <c r="D454" s="40" t="s">
        <v>1176</v>
      </c>
      <c r="E454" s="40" t="s">
        <v>41</v>
      </c>
      <c r="F454" s="40" t="s">
        <v>1177</v>
      </c>
      <c r="G454" s="41">
        <v>1</v>
      </c>
      <c r="H454" s="41">
        <v>44500</v>
      </c>
      <c r="I454" s="41">
        <v>0</v>
      </c>
      <c r="J454" s="41">
        <v>0</v>
      </c>
      <c r="K454" s="41">
        <v>43790</v>
      </c>
      <c r="L454" s="41" t="s">
        <v>1178</v>
      </c>
      <c r="M454" s="41">
        <v>710</v>
      </c>
    </row>
    <row r="455" spans="1:13" x14ac:dyDescent="0.25">
      <c r="A455" s="40" t="s">
        <v>1155</v>
      </c>
      <c r="B455" s="40" t="s">
        <v>12</v>
      </c>
      <c r="C455" s="40" t="s">
        <v>22</v>
      </c>
      <c r="D455" s="40" t="s">
        <v>1179</v>
      </c>
      <c r="E455" s="40" t="s">
        <v>15</v>
      </c>
      <c r="F455" s="40" t="s">
        <v>537</v>
      </c>
      <c r="G455" s="41">
        <v>1</v>
      </c>
      <c r="H455" s="41">
        <v>33999</v>
      </c>
      <c r="I455" s="41">
        <v>0</v>
      </c>
      <c r="J455" s="41">
        <v>0</v>
      </c>
      <c r="K455" s="41">
        <v>33129</v>
      </c>
      <c r="L455" s="41" t="s">
        <v>1180</v>
      </c>
      <c r="M455" s="41">
        <v>870</v>
      </c>
    </row>
    <row r="456" spans="1:13" x14ac:dyDescent="0.25">
      <c r="A456" s="40" t="s">
        <v>1155</v>
      </c>
      <c r="B456" s="40" t="s">
        <v>12</v>
      </c>
      <c r="C456" s="40" t="s">
        <v>22</v>
      </c>
      <c r="D456" s="40" t="s">
        <v>1181</v>
      </c>
      <c r="E456" s="40" t="s">
        <v>95</v>
      </c>
      <c r="F456" s="40" t="s">
        <v>25</v>
      </c>
      <c r="G456" s="41">
        <v>1</v>
      </c>
      <c r="H456" s="41">
        <v>33500</v>
      </c>
      <c r="I456" s="41">
        <v>0</v>
      </c>
      <c r="J456" s="41">
        <v>0</v>
      </c>
      <c r="K456" s="41">
        <v>33129</v>
      </c>
      <c r="L456" s="41" t="s">
        <v>1182</v>
      </c>
      <c r="M456" s="41">
        <v>371</v>
      </c>
    </row>
    <row r="457" spans="1:13" x14ac:dyDescent="0.25">
      <c r="A457" s="40" t="s">
        <v>1155</v>
      </c>
      <c r="B457" s="40" t="s">
        <v>12</v>
      </c>
      <c r="C457" s="40" t="s">
        <v>22</v>
      </c>
      <c r="D457" s="40" t="s">
        <v>1183</v>
      </c>
      <c r="E457" s="40" t="s">
        <v>135</v>
      </c>
      <c r="F457" s="40" t="s">
        <v>25</v>
      </c>
      <c r="G457" s="41">
        <v>1</v>
      </c>
      <c r="H457" s="41">
        <v>33999</v>
      </c>
      <c r="I457" s="41">
        <v>0</v>
      </c>
      <c r="J457" s="41">
        <v>0</v>
      </c>
      <c r="K457" s="41">
        <v>33129</v>
      </c>
      <c r="L457" s="41" t="s">
        <v>1184</v>
      </c>
      <c r="M457" s="41">
        <v>870</v>
      </c>
    </row>
    <row r="458" spans="1:13" x14ac:dyDescent="0.25">
      <c r="A458" s="40" t="s">
        <v>1155</v>
      </c>
      <c r="B458" s="40" t="s">
        <v>12</v>
      </c>
      <c r="C458" s="40" t="s">
        <v>22</v>
      </c>
      <c r="D458" s="40" t="s">
        <v>1185</v>
      </c>
      <c r="E458" s="40" t="s">
        <v>109</v>
      </c>
      <c r="F458" s="40" t="s">
        <v>25</v>
      </c>
      <c r="G458" s="41">
        <v>1</v>
      </c>
      <c r="H458" s="41">
        <v>33400</v>
      </c>
      <c r="I458" s="41">
        <v>0</v>
      </c>
      <c r="J458" s="41">
        <v>0</v>
      </c>
      <c r="K458" s="41">
        <v>33129</v>
      </c>
      <c r="L458" s="41" t="s">
        <v>1186</v>
      </c>
      <c r="M458" s="41">
        <v>271</v>
      </c>
    </row>
    <row r="459" spans="1:13" x14ac:dyDescent="0.25">
      <c r="A459" s="40" t="s">
        <v>1155</v>
      </c>
      <c r="B459" s="40" t="s">
        <v>12</v>
      </c>
      <c r="C459" s="40" t="s">
        <v>22</v>
      </c>
      <c r="D459" s="40" t="s">
        <v>1187</v>
      </c>
      <c r="E459" s="40" t="s">
        <v>162</v>
      </c>
      <c r="F459" s="40" t="s">
        <v>1188</v>
      </c>
      <c r="G459" s="41">
        <v>1</v>
      </c>
      <c r="H459" s="41">
        <v>36500</v>
      </c>
      <c r="I459" s="41">
        <v>0</v>
      </c>
      <c r="J459" s="41">
        <v>0</v>
      </c>
      <c r="K459" s="41">
        <v>36052</v>
      </c>
      <c r="L459" s="41" t="s">
        <v>1189</v>
      </c>
      <c r="M459" s="41">
        <v>448</v>
      </c>
    </row>
    <row r="460" spans="1:13" x14ac:dyDescent="0.25">
      <c r="A460" s="40" t="s">
        <v>1155</v>
      </c>
      <c r="B460" s="40" t="s">
        <v>12</v>
      </c>
      <c r="C460" s="40" t="s">
        <v>22</v>
      </c>
      <c r="D460" s="40" t="s">
        <v>1190</v>
      </c>
      <c r="E460" s="40" t="s">
        <v>162</v>
      </c>
      <c r="F460" s="40" t="s">
        <v>25</v>
      </c>
      <c r="G460" s="41">
        <v>1</v>
      </c>
      <c r="H460" s="41">
        <v>33500</v>
      </c>
      <c r="I460" s="41">
        <v>0</v>
      </c>
      <c r="J460" s="41">
        <v>0</v>
      </c>
      <c r="K460" s="41">
        <v>33129</v>
      </c>
      <c r="L460" s="41" t="s">
        <v>1191</v>
      </c>
      <c r="M460" s="41">
        <v>371</v>
      </c>
    </row>
    <row r="461" spans="1:13" x14ac:dyDescent="0.25">
      <c r="A461" s="40" t="s">
        <v>1155</v>
      </c>
      <c r="B461" s="40" t="s">
        <v>12</v>
      </c>
      <c r="C461" s="40" t="s">
        <v>22</v>
      </c>
      <c r="D461" s="40" t="s">
        <v>1192</v>
      </c>
      <c r="E461" s="40" t="s">
        <v>30</v>
      </c>
      <c r="F461" s="40" t="s">
        <v>25</v>
      </c>
      <c r="G461" s="41">
        <v>1</v>
      </c>
      <c r="H461" s="41">
        <v>33999</v>
      </c>
      <c r="I461" s="41">
        <v>0</v>
      </c>
      <c r="J461" s="41">
        <v>0</v>
      </c>
      <c r="K461" s="41">
        <v>33129</v>
      </c>
      <c r="L461" s="41" t="s">
        <v>1193</v>
      </c>
      <c r="M461" s="41">
        <v>870</v>
      </c>
    </row>
    <row r="462" spans="1:13" x14ac:dyDescent="0.25">
      <c r="A462" s="40" t="s">
        <v>1155</v>
      </c>
      <c r="B462" s="40" t="s">
        <v>12</v>
      </c>
      <c r="C462" s="40" t="s">
        <v>22</v>
      </c>
      <c r="D462" s="40" t="s">
        <v>1194</v>
      </c>
      <c r="E462" s="40" t="s">
        <v>45</v>
      </c>
      <c r="F462" s="40" t="s">
        <v>1195</v>
      </c>
      <c r="G462" s="41">
        <v>1</v>
      </c>
      <c r="H462" s="41">
        <v>53000</v>
      </c>
      <c r="I462" s="41">
        <v>0</v>
      </c>
      <c r="J462" s="41">
        <v>0</v>
      </c>
      <c r="K462" s="41">
        <v>52026</v>
      </c>
      <c r="L462" s="41" t="s">
        <v>1196</v>
      </c>
      <c r="M462" s="41">
        <v>974</v>
      </c>
    </row>
    <row r="463" spans="1:13" x14ac:dyDescent="0.25">
      <c r="A463" s="40" t="s">
        <v>1155</v>
      </c>
      <c r="B463" s="40" t="s">
        <v>12</v>
      </c>
      <c r="C463" s="40" t="s">
        <v>360</v>
      </c>
      <c r="D463" s="40" t="s">
        <v>1197</v>
      </c>
      <c r="E463" s="40" t="s">
        <v>24</v>
      </c>
      <c r="F463" s="40" t="s">
        <v>651</v>
      </c>
      <c r="G463" s="41">
        <v>1</v>
      </c>
      <c r="H463" s="41">
        <v>14000</v>
      </c>
      <c r="I463" s="41">
        <v>0</v>
      </c>
      <c r="J463" s="41">
        <v>0</v>
      </c>
      <c r="K463" s="41">
        <v>14232</v>
      </c>
      <c r="L463" s="41" t="s">
        <v>1198</v>
      </c>
      <c r="M463" s="41">
        <v>-232</v>
      </c>
    </row>
    <row r="464" spans="1:13" x14ac:dyDescent="0.25">
      <c r="A464" s="40" t="s">
        <v>1155</v>
      </c>
      <c r="B464" s="40" t="s">
        <v>12</v>
      </c>
      <c r="C464" s="40" t="s">
        <v>360</v>
      </c>
      <c r="D464" s="40" t="s">
        <v>1199</v>
      </c>
      <c r="E464" s="40" t="s">
        <v>135</v>
      </c>
      <c r="F464" s="40" t="s">
        <v>740</v>
      </c>
      <c r="G464" s="41">
        <v>1</v>
      </c>
      <c r="H464" s="41">
        <v>26949</v>
      </c>
      <c r="I464" s="41">
        <v>0</v>
      </c>
      <c r="J464" s="41">
        <v>0</v>
      </c>
      <c r="K464" s="41">
        <v>27068</v>
      </c>
      <c r="L464" s="41" t="s">
        <v>1200</v>
      </c>
      <c r="M464" s="41">
        <v>-119</v>
      </c>
    </row>
    <row r="465" spans="1:13" x14ac:dyDescent="0.25">
      <c r="A465" s="40" t="s">
        <v>1155</v>
      </c>
      <c r="B465" s="40" t="s">
        <v>12</v>
      </c>
      <c r="C465" s="40" t="s">
        <v>360</v>
      </c>
      <c r="D465" s="40" t="s">
        <v>1201</v>
      </c>
      <c r="E465" s="40" t="s">
        <v>45</v>
      </c>
      <c r="F465" s="40" t="s">
        <v>930</v>
      </c>
      <c r="G465" s="41">
        <v>1</v>
      </c>
      <c r="H465" s="41">
        <v>23000</v>
      </c>
      <c r="I465" s="41">
        <v>0</v>
      </c>
      <c r="J465" s="41">
        <v>0</v>
      </c>
      <c r="K465" s="41">
        <v>22202</v>
      </c>
      <c r="L465" s="41" t="s">
        <v>1202</v>
      </c>
      <c r="M465" s="41">
        <v>798</v>
      </c>
    </row>
    <row r="466" spans="1:13" x14ac:dyDescent="0.25">
      <c r="A466" s="40" t="s">
        <v>1155</v>
      </c>
      <c r="B466" s="40" t="s">
        <v>12</v>
      </c>
      <c r="C466" s="40" t="s">
        <v>114</v>
      </c>
      <c r="D466" s="40" t="s">
        <v>1203</v>
      </c>
      <c r="E466" s="40" t="s">
        <v>15</v>
      </c>
      <c r="F466" s="40" t="s">
        <v>1081</v>
      </c>
      <c r="G466" s="41">
        <v>1</v>
      </c>
      <c r="H466" s="41">
        <v>18000</v>
      </c>
      <c r="I466" s="41">
        <v>0</v>
      </c>
      <c r="J466" s="41">
        <v>0</v>
      </c>
      <c r="K466" s="41">
        <v>17834</v>
      </c>
      <c r="L466" s="41" t="s">
        <v>1204</v>
      </c>
      <c r="M466" s="41">
        <v>166</v>
      </c>
    </row>
    <row r="467" spans="1:13" x14ac:dyDescent="0.25">
      <c r="A467" s="40" t="s">
        <v>1155</v>
      </c>
      <c r="B467" s="40" t="s">
        <v>12</v>
      </c>
      <c r="C467" s="40" t="s">
        <v>114</v>
      </c>
      <c r="D467" s="40" t="s">
        <v>1205</v>
      </c>
      <c r="E467" s="40" t="s">
        <v>24</v>
      </c>
      <c r="F467" s="40" t="s">
        <v>156</v>
      </c>
      <c r="G467" s="41">
        <v>1</v>
      </c>
      <c r="H467" s="41">
        <v>15700</v>
      </c>
      <c r="I467" s="41">
        <v>0</v>
      </c>
      <c r="J467" s="41">
        <v>0</v>
      </c>
      <c r="K467" s="41">
        <v>14440</v>
      </c>
      <c r="L467" s="41" t="s">
        <v>1206</v>
      </c>
      <c r="M467" s="41">
        <v>1260</v>
      </c>
    </row>
    <row r="468" spans="1:13" x14ac:dyDescent="0.25">
      <c r="A468" s="40" t="s">
        <v>1155</v>
      </c>
      <c r="B468" s="40" t="s">
        <v>12</v>
      </c>
      <c r="C468" s="40" t="s">
        <v>114</v>
      </c>
      <c r="D468" s="40" t="s">
        <v>1207</v>
      </c>
      <c r="E468" s="40" t="s">
        <v>135</v>
      </c>
      <c r="F468" s="40" t="s">
        <v>945</v>
      </c>
      <c r="G468" s="41">
        <v>1</v>
      </c>
      <c r="H468" s="41">
        <v>16300</v>
      </c>
      <c r="I468" s="41">
        <v>0</v>
      </c>
      <c r="J468" s="41">
        <v>0</v>
      </c>
      <c r="K468" s="41">
        <v>15956</v>
      </c>
      <c r="L468" s="41" t="s">
        <v>1208</v>
      </c>
      <c r="M468" s="41">
        <v>344</v>
      </c>
    </row>
    <row r="469" spans="1:13" x14ac:dyDescent="0.25">
      <c r="A469" s="40" t="s">
        <v>1155</v>
      </c>
      <c r="B469" s="40" t="s">
        <v>12</v>
      </c>
      <c r="C469" s="40" t="s">
        <v>114</v>
      </c>
      <c r="D469" s="40" t="s">
        <v>1209</v>
      </c>
      <c r="E469" s="40" t="s">
        <v>135</v>
      </c>
      <c r="F469" s="40" t="s">
        <v>144</v>
      </c>
      <c r="G469" s="41">
        <v>1</v>
      </c>
      <c r="H469" s="41">
        <v>18800</v>
      </c>
      <c r="I469" s="41">
        <v>0</v>
      </c>
      <c r="J469" s="41">
        <v>0</v>
      </c>
      <c r="K469" s="41">
        <v>17528</v>
      </c>
      <c r="L469" s="41" t="s">
        <v>1210</v>
      </c>
      <c r="M469" s="41">
        <v>1272</v>
      </c>
    </row>
    <row r="470" spans="1:13" x14ac:dyDescent="0.25">
      <c r="A470" s="40" t="s">
        <v>1155</v>
      </c>
      <c r="B470" s="40" t="s">
        <v>12</v>
      </c>
      <c r="C470" s="40" t="s">
        <v>114</v>
      </c>
      <c r="D470" s="40" t="s">
        <v>1211</v>
      </c>
      <c r="E470" s="40" t="s">
        <v>41</v>
      </c>
      <c r="F470" s="40" t="s">
        <v>469</v>
      </c>
      <c r="G470" s="41">
        <v>1</v>
      </c>
      <c r="H470" s="41">
        <v>10000</v>
      </c>
      <c r="I470" s="41">
        <v>0</v>
      </c>
      <c r="J470" s="41">
        <v>0</v>
      </c>
      <c r="K470" s="41">
        <v>10324</v>
      </c>
      <c r="L470" s="41" t="s">
        <v>1212</v>
      </c>
      <c r="M470" s="41">
        <v>-324</v>
      </c>
    </row>
    <row r="471" spans="1:13" x14ac:dyDescent="0.25">
      <c r="A471" s="40" t="s">
        <v>1155</v>
      </c>
      <c r="B471" s="40" t="s">
        <v>12</v>
      </c>
      <c r="C471" s="40" t="s">
        <v>60</v>
      </c>
      <c r="D471" s="40" t="s">
        <v>1213</v>
      </c>
      <c r="E471" s="40" t="s">
        <v>15</v>
      </c>
      <c r="F471" s="40" t="s">
        <v>275</v>
      </c>
      <c r="G471" s="41">
        <v>1</v>
      </c>
      <c r="H471" s="41">
        <v>17500</v>
      </c>
      <c r="I471" s="41">
        <v>0</v>
      </c>
      <c r="J471" s="41">
        <v>0</v>
      </c>
      <c r="K471" s="41">
        <v>17482</v>
      </c>
      <c r="L471" s="41" t="s">
        <v>1214</v>
      </c>
      <c r="M471" s="41">
        <v>18</v>
      </c>
    </row>
    <row r="472" spans="1:13" x14ac:dyDescent="0.25">
      <c r="A472" s="40" t="s">
        <v>1155</v>
      </c>
      <c r="B472" s="40" t="s">
        <v>12</v>
      </c>
      <c r="C472" s="40" t="s">
        <v>60</v>
      </c>
      <c r="D472" s="40" t="s">
        <v>1215</v>
      </c>
      <c r="E472" s="40" t="s">
        <v>105</v>
      </c>
      <c r="F472" s="40" t="s">
        <v>1216</v>
      </c>
      <c r="G472" s="41">
        <v>1</v>
      </c>
      <c r="H472" s="41">
        <v>16000</v>
      </c>
      <c r="I472" s="41">
        <v>0</v>
      </c>
      <c r="J472" s="41">
        <v>0</v>
      </c>
      <c r="K472" s="41">
        <v>15847</v>
      </c>
      <c r="L472" s="41" t="s">
        <v>1217</v>
      </c>
      <c r="M472" s="41">
        <v>153</v>
      </c>
    </row>
    <row r="473" spans="1:13" x14ac:dyDescent="0.25">
      <c r="A473" s="40" t="s">
        <v>1155</v>
      </c>
      <c r="B473" s="40" t="s">
        <v>12</v>
      </c>
      <c r="C473" s="40" t="s">
        <v>60</v>
      </c>
      <c r="D473" s="40" t="s">
        <v>1218</v>
      </c>
      <c r="E473" s="40" t="s">
        <v>109</v>
      </c>
      <c r="F473" s="40" t="s">
        <v>1216</v>
      </c>
      <c r="G473" s="41">
        <v>1</v>
      </c>
      <c r="H473" s="41">
        <v>16300</v>
      </c>
      <c r="I473" s="41">
        <v>0</v>
      </c>
      <c r="J473" s="41">
        <v>0</v>
      </c>
      <c r="K473" s="41">
        <v>15847</v>
      </c>
      <c r="L473" s="41" t="s">
        <v>1219</v>
      </c>
      <c r="M473" s="41">
        <v>453</v>
      </c>
    </row>
    <row r="474" spans="1:13" x14ac:dyDescent="0.25">
      <c r="A474" s="40" t="s">
        <v>1155</v>
      </c>
      <c r="B474" s="40" t="s">
        <v>12</v>
      </c>
      <c r="C474" s="40" t="s">
        <v>60</v>
      </c>
      <c r="D474" s="40" t="s">
        <v>1220</v>
      </c>
      <c r="E474" s="40" t="s">
        <v>109</v>
      </c>
      <c r="F474" s="40" t="s">
        <v>1216</v>
      </c>
      <c r="G474" s="41">
        <v>1</v>
      </c>
      <c r="H474" s="41">
        <v>16500</v>
      </c>
      <c r="I474" s="41">
        <v>0</v>
      </c>
      <c r="J474" s="41">
        <v>0</v>
      </c>
      <c r="K474" s="41">
        <v>15847</v>
      </c>
      <c r="L474" s="41" t="s">
        <v>1221</v>
      </c>
      <c r="M474" s="41">
        <v>653</v>
      </c>
    </row>
    <row r="475" spans="1:13" x14ac:dyDescent="0.25">
      <c r="A475" s="40" t="s">
        <v>1155</v>
      </c>
      <c r="B475" s="40" t="s">
        <v>12</v>
      </c>
      <c r="C475" s="40" t="s">
        <v>60</v>
      </c>
      <c r="D475" s="40" t="s">
        <v>1222</v>
      </c>
      <c r="E475" s="40" t="s">
        <v>30</v>
      </c>
      <c r="F475" s="40" t="s">
        <v>62</v>
      </c>
      <c r="G475" s="41">
        <v>1</v>
      </c>
      <c r="H475" s="41">
        <v>16000</v>
      </c>
      <c r="I475" s="41">
        <v>0</v>
      </c>
      <c r="J475" s="41">
        <v>0</v>
      </c>
      <c r="K475" s="41">
        <v>15847</v>
      </c>
      <c r="L475" s="41" t="s">
        <v>1223</v>
      </c>
      <c r="M475" s="41">
        <v>153</v>
      </c>
    </row>
    <row r="476" spans="1:13" x14ac:dyDescent="0.25">
      <c r="A476" s="40" t="s">
        <v>1155</v>
      </c>
      <c r="B476" s="40" t="s">
        <v>12</v>
      </c>
      <c r="C476" s="40" t="s">
        <v>82</v>
      </c>
      <c r="D476" s="40" t="s">
        <v>1224</v>
      </c>
      <c r="E476" s="40" t="s">
        <v>162</v>
      </c>
      <c r="F476" s="40" t="s">
        <v>343</v>
      </c>
      <c r="G476" s="41">
        <v>1</v>
      </c>
      <c r="H476" s="41">
        <v>22750</v>
      </c>
      <c r="I476" s="41">
        <v>0</v>
      </c>
      <c r="J476" s="41">
        <v>0</v>
      </c>
      <c r="K476" s="41">
        <v>23090</v>
      </c>
      <c r="L476" s="41" t="s">
        <v>1225</v>
      </c>
      <c r="M476" s="41">
        <v>-340</v>
      </c>
    </row>
    <row r="477" spans="1:13" x14ac:dyDescent="0.25">
      <c r="A477" s="40" t="s">
        <v>1226</v>
      </c>
      <c r="B477" s="40" t="s">
        <v>12</v>
      </c>
      <c r="C477" s="40" t="s">
        <v>28</v>
      </c>
      <c r="D477" s="40" t="s">
        <v>1227</v>
      </c>
      <c r="E477" s="40" t="s">
        <v>24</v>
      </c>
      <c r="F477" s="40" t="s">
        <v>211</v>
      </c>
      <c r="G477" s="41">
        <v>1</v>
      </c>
      <c r="H477" s="41">
        <v>14500</v>
      </c>
      <c r="I477" s="41">
        <v>0</v>
      </c>
      <c r="J477" s="41">
        <v>0</v>
      </c>
      <c r="K477" s="41">
        <v>14568</v>
      </c>
      <c r="L477" s="41" t="s">
        <v>1228</v>
      </c>
      <c r="M477" s="41">
        <v>-68</v>
      </c>
    </row>
    <row r="478" spans="1:13" x14ac:dyDescent="0.25">
      <c r="A478" s="40" t="s">
        <v>1226</v>
      </c>
      <c r="B478" s="40" t="s">
        <v>12</v>
      </c>
      <c r="C478" s="40" t="s">
        <v>28</v>
      </c>
      <c r="D478" s="40" t="s">
        <v>1229</v>
      </c>
      <c r="E478" s="40" t="s">
        <v>95</v>
      </c>
      <c r="F478" s="40" t="s">
        <v>243</v>
      </c>
      <c r="G478" s="41">
        <v>1</v>
      </c>
      <c r="H478" s="41">
        <v>17000</v>
      </c>
      <c r="I478" s="41">
        <v>0</v>
      </c>
      <c r="J478" s="41">
        <v>0</v>
      </c>
      <c r="K478" s="41">
        <v>16511</v>
      </c>
      <c r="L478" s="41" t="s">
        <v>1230</v>
      </c>
      <c r="M478" s="41">
        <v>489</v>
      </c>
    </row>
    <row r="479" spans="1:13" x14ac:dyDescent="0.25">
      <c r="A479" s="40" t="s">
        <v>1226</v>
      </c>
      <c r="B479" s="40" t="s">
        <v>12</v>
      </c>
      <c r="C479" s="40" t="s">
        <v>28</v>
      </c>
      <c r="D479" s="40" t="s">
        <v>1231</v>
      </c>
      <c r="E479" s="40" t="s">
        <v>135</v>
      </c>
      <c r="F479" s="40" t="s">
        <v>413</v>
      </c>
      <c r="G479" s="41">
        <v>1</v>
      </c>
      <c r="H479" s="41">
        <v>12999</v>
      </c>
      <c r="I479" s="41">
        <v>0</v>
      </c>
      <c r="J479" s="41">
        <v>0</v>
      </c>
      <c r="K479" s="41">
        <v>12626</v>
      </c>
      <c r="L479" s="41" t="s">
        <v>1232</v>
      </c>
      <c r="M479" s="41">
        <v>373</v>
      </c>
    </row>
    <row r="480" spans="1:13" x14ac:dyDescent="0.25">
      <c r="A480" s="40" t="s">
        <v>1226</v>
      </c>
      <c r="B480" s="40" t="s">
        <v>12</v>
      </c>
      <c r="C480" s="40" t="s">
        <v>28</v>
      </c>
      <c r="D480" s="40" t="s">
        <v>1233</v>
      </c>
      <c r="E480" s="40" t="s">
        <v>135</v>
      </c>
      <c r="F480" s="40" t="s">
        <v>48</v>
      </c>
      <c r="G480" s="41">
        <v>1</v>
      </c>
      <c r="H480" s="41">
        <v>29999</v>
      </c>
      <c r="I480" s="41">
        <v>0</v>
      </c>
      <c r="J480" s="41">
        <v>0</v>
      </c>
      <c r="K480" s="41">
        <v>28862</v>
      </c>
      <c r="L480" s="41" t="s">
        <v>1234</v>
      </c>
      <c r="M480" s="41">
        <v>1137</v>
      </c>
    </row>
    <row r="481" spans="1:13" x14ac:dyDescent="0.25">
      <c r="A481" s="40" t="s">
        <v>1226</v>
      </c>
      <c r="B481" s="40" t="s">
        <v>12</v>
      </c>
      <c r="C481" s="40" t="s">
        <v>28</v>
      </c>
      <c r="D481" s="40" t="s">
        <v>1235</v>
      </c>
      <c r="E481" s="40" t="s">
        <v>135</v>
      </c>
      <c r="F481" s="40" t="s">
        <v>222</v>
      </c>
      <c r="G481" s="41">
        <v>1</v>
      </c>
      <c r="H481" s="41">
        <v>15000</v>
      </c>
      <c r="I481" s="41">
        <v>0</v>
      </c>
      <c r="J481" s="41">
        <v>0</v>
      </c>
      <c r="K481" s="41">
        <v>14568</v>
      </c>
      <c r="L481" s="41" t="s">
        <v>1236</v>
      </c>
      <c r="M481" s="41">
        <v>432</v>
      </c>
    </row>
    <row r="482" spans="1:13" x14ac:dyDescent="0.25">
      <c r="A482" s="40" t="s">
        <v>1226</v>
      </c>
      <c r="B482" s="40" t="s">
        <v>12</v>
      </c>
      <c r="C482" s="40" t="s">
        <v>28</v>
      </c>
      <c r="D482" s="40" t="s">
        <v>1237</v>
      </c>
      <c r="E482" s="40" t="s">
        <v>105</v>
      </c>
      <c r="F482" s="40" t="s">
        <v>222</v>
      </c>
      <c r="G482" s="41">
        <v>1</v>
      </c>
      <c r="H482" s="41">
        <v>15000</v>
      </c>
      <c r="I482" s="41">
        <v>0</v>
      </c>
      <c r="J482" s="41">
        <v>0</v>
      </c>
      <c r="K482" s="41">
        <v>14568</v>
      </c>
      <c r="L482" s="41" t="s">
        <v>1238</v>
      </c>
      <c r="M482" s="41">
        <v>432</v>
      </c>
    </row>
    <row r="483" spans="1:13" x14ac:dyDescent="0.25">
      <c r="A483" s="40" t="s">
        <v>1226</v>
      </c>
      <c r="B483" s="40" t="s">
        <v>12</v>
      </c>
      <c r="C483" s="40" t="s">
        <v>28</v>
      </c>
      <c r="D483" s="40" t="s">
        <v>1237</v>
      </c>
      <c r="E483" s="40" t="s">
        <v>105</v>
      </c>
      <c r="F483" s="40" t="s">
        <v>222</v>
      </c>
      <c r="G483" s="41">
        <v>1</v>
      </c>
      <c r="H483" s="41">
        <v>15000</v>
      </c>
      <c r="I483" s="41">
        <v>0</v>
      </c>
      <c r="J483" s="41">
        <v>0</v>
      </c>
      <c r="K483" s="41">
        <v>14568</v>
      </c>
      <c r="L483" s="41" t="s">
        <v>1239</v>
      </c>
      <c r="M483" s="41">
        <v>432</v>
      </c>
    </row>
    <row r="484" spans="1:13" x14ac:dyDescent="0.25">
      <c r="A484" s="40" t="s">
        <v>1226</v>
      </c>
      <c r="B484" s="40" t="s">
        <v>12</v>
      </c>
      <c r="C484" s="40" t="s">
        <v>28</v>
      </c>
      <c r="D484" s="40" t="s">
        <v>1240</v>
      </c>
      <c r="E484" s="40" t="s">
        <v>34</v>
      </c>
      <c r="F484" s="40" t="s">
        <v>216</v>
      </c>
      <c r="G484" s="41">
        <v>1</v>
      </c>
      <c r="H484" s="41">
        <v>29300</v>
      </c>
      <c r="I484" s="41">
        <v>0</v>
      </c>
      <c r="J484" s="41">
        <v>0</v>
      </c>
      <c r="K484" s="41">
        <v>28862</v>
      </c>
      <c r="L484" s="41" t="s">
        <v>1241</v>
      </c>
      <c r="M484" s="41">
        <v>438</v>
      </c>
    </row>
    <row r="485" spans="1:13" x14ac:dyDescent="0.25">
      <c r="A485" s="40" t="s">
        <v>1226</v>
      </c>
      <c r="B485" s="40" t="s">
        <v>12</v>
      </c>
      <c r="C485" s="40" t="s">
        <v>50</v>
      </c>
      <c r="D485" s="40" t="s">
        <v>1242</v>
      </c>
      <c r="E485" s="40" t="s">
        <v>34</v>
      </c>
      <c r="F485" s="40" t="s">
        <v>1243</v>
      </c>
      <c r="G485" s="41">
        <v>1</v>
      </c>
      <c r="H485" s="41">
        <v>20500</v>
      </c>
      <c r="I485" s="41">
        <v>0</v>
      </c>
      <c r="J485" s="41">
        <v>0</v>
      </c>
      <c r="K485" s="41">
        <v>20361</v>
      </c>
      <c r="L485" s="41" t="s">
        <v>1244</v>
      </c>
      <c r="M485" s="41">
        <v>139</v>
      </c>
    </row>
    <row r="486" spans="1:13" x14ac:dyDescent="0.25">
      <c r="A486" s="40" t="s">
        <v>1226</v>
      </c>
      <c r="B486" s="40" t="s">
        <v>12</v>
      </c>
      <c r="C486" s="40" t="s">
        <v>114</v>
      </c>
      <c r="D486" s="40" t="s">
        <v>1245</v>
      </c>
      <c r="E486" s="40" t="s">
        <v>15</v>
      </c>
      <c r="F486" s="40" t="s">
        <v>141</v>
      </c>
      <c r="G486" s="41">
        <v>1</v>
      </c>
      <c r="H486" s="41">
        <v>8800</v>
      </c>
      <c r="I486" s="41">
        <v>0</v>
      </c>
      <c r="J486" s="41">
        <v>0</v>
      </c>
      <c r="K486" s="41">
        <v>8916</v>
      </c>
      <c r="L486" s="41" t="s">
        <v>1246</v>
      </c>
      <c r="M486" s="41">
        <v>-116</v>
      </c>
    </row>
    <row r="487" spans="1:13" x14ac:dyDescent="0.25">
      <c r="A487" s="40" t="s">
        <v>1226</v>
      </c>
      <c r="B487" s="40" t="s">
        <v>12</v>
      </c>
      <c r="C487" s="40" t="s">
        <v>114</v>
      </c>
      <c r="D487" s="40" t="s">
        <v>1247</v>
      </c>
      <c r="E487" s="40" t="s">
        <v>15</v>
      </c>
      <c r="F487" s="40" t="s">
        <v>466</v>
      </c>
      <c r="G487" s="41">
        <v>1</v>
      </c>
      <c r="H487" s="41">
        <v>14800</v>
      </c>
      <c r="I487" s="41">
        <v>0</v>
      </c>
      <c r="J487" s="41">
        <v>0</v>
      </c>
      <c r="K487" s="41">
        <v>15225</v>
      </c>
      <c r="L487" s="41" t="s">
        <v>1248</v>
      </c>
      <c r="M487" s="41">
        <v>-425</v>
      </c>
    </row>
    <row r="488" spans="1:13" x14ac:dyDescent="0.25">
      <c r="A488" s="40" t="s">
        <v>1226</v>
      </c>
      <c r="B488" s="40" t="s">
        <v>12</v>
      </c>
      <c r="C488" s="40" t="s">
        <v>114</v>
      </c>
      <c r="D488" s="40" t="s">
        <v>1249</v>
      </c>
      <c r="E488" s="40" t="s">
        <v>15</v>
      </c>
      <c r="F488" s="40" t="s">
        <v>124</v>
      </c>
      <c r="G488" s="41">
        <v>1</v>
      </c>
      <c r="H488" s="41">
        <v>16000</v>
      </c>
      <c r="I488" s="41">
        <v>0</v>
      </c>
      <c r="J488" s="41">
        <v>0</v>
      </c>
      <c r="K488" s="41">
        <v>15225</v>
      </c>
      <c r="L488" s="41" t="s">
        <v>1250</v>
      </c>
      <c r="M488" s="41">
        <v>775</v>
      </c>
    </row>
    <row r="489" spans="1:13" x14ac:dyDescent="0.25">
      <c r="A489" s="40" t="s">
        <v>1226</v>
      </c>
      <c r="B489" s="40" t="s">
        <v>12</v>
      </c>
      <c r="C489" s="40" t="s">
        <v>114</v>
      </c>
      <c r="D489" s="40" t="s">
        <v>1251</v>
      </c>
      <c r="E489" s="40" t="s">
        <v>24</v>
      </c>
      <c r="F489" s="40" t="s">
        <v>848</v>
      </c>
      <c r="G489" s="41">
        <v>1</v>
      </c>
      <c r="H489" s="41">
        <v>16500</v>
      </c>
      <c r="I489" s="41">
        <v>0</v>
      </c>
      <c r="J489" s="41">
        <v>0</v>
      </c>
      <c r="K489" s="41">
        <v>16245</v>
      </c>
      <c r="L489" s="41" t="s">
        <v>1252</v>
      </c>
      <c r="M489" s="41">
        <v>255</v>
      </c>
    </row>
    <row r="490" spans="1:13" x14ac:dyDescent="0.25">
      <c r="A490" s="40" t="s">
        <v>1226</v>
      </c>
      <c r="B490" s="40" t="s">
        <v>12</v>
      </c>
      <c r="C490" s="40" t="s">
        <v>114</v>
      </c>
      <c r="D490" s="40" t="s">
        <v>1253</v>
      </c>
      <c r="E490" s="40" t="s">
        <v>24</v>
      </c>
      <c r="F490" s="40" t="s">
        <v>121</v>
      </c>
      <c r="G490" s="41">
        <v>1</v>
      </c>
      <c r="H490" s="41">
        <v>38664</v>
      </c>
      <c r="I490" s="41">
        <v>0</v>
      </c>
      <c r="J490" s="41">
        <v>0</v>
      </c>
      <c r="K490" s="41">
        <v>37518</v>
      </c>
      <c r="L490" s="41" t="s">
        <v>1254</v>
      </c>
      <c r="M490" s="41">
        <v>1146</v>
      </c>
    </row>
    <row r="491" spans="1:13" x14ac:dyDescent="0.25">
      <c r="A491" s="40" t="s">
        <v>1226</v>
      </c>
      <c r="B491" s="40" t="s">
        <v>12</v>
      </c>
      <c r="C491" s="40" t="s">
        <v>114</v>
      </c>
      <c r="D491" s="40" t="s">
        <v>1255</v>
      </c>
      <c r="E491" s="40" t="s">
        <v>24</v>
      </c>
      <c r="F491" s="40" t="s">
        <v>156</v>
      </c>
      <c r="G491" s="41">
        <v>1</v>
      </c>
      <c r="H491" s="41">
        <v>15200</v>
      </c>
      <c r="I491" s="41">
        <v>0</v>
      </c>
      <c r="J491" s="41">
        <v>0</v>
      </c>
      <c r="K491" s="41">
        <v>14440</v>
      </c>
      <c r="L491" s="41" t="s">
        <v>1256</v>
      </c>
      <c r="M491" s="41">
        <v>760</v>
      </c>
    </row>
    <row r="492" spans="1:13" x14ac:dyDescent="0.25">
      <c r="A492" s="40" t="s">
        <v>1226</v>
      </c>
      <c r="B492" s="40" t="s">
        <v>12</v>
      </c>
      <c r="C492" s="40" t="s">
        <v>114</v>
      </c>
      <c r="D492" s="40" t="s">
        <v>1257</v>
      </c>
      <c r="E492" s="40" t="s">
        <v>24</v>
      </c>
      <c r="F492" s="40" t="s">
        <v>132</v>
      </c>
      <c r="G492" s="41">
        <v>1</v>
      </c>
      <c r="H492" s="41">
        <v>23068</v>
      </c>
      <c r="I492" s="41">
        <v>0</v>
      </c>
      <c r="J492" s="41">
        <v>0</v>
      </c>
      <c r="K492" s="41">
        <v>21968</v>
      </c>
      <c r="L492" s="41" t="s">
        <v>1258</v>
      </c>
      <c r="M492" s="41">
        <v>1100</v>
      </c>
    </row>
    <row r="493" spans="1:13" x14ac:dyDescent="0.25">
      <c r="A493" s="40" t="s">
        <v>1226</v>
      </c>
      <c r="B493" s="40" t="s">
        <v>12</v>
      </c>
      <c r="C493" s="40" t="s">
        <v>114</v>
      </c>
      <c r="D493" s="40" t="s">
        <v>1259</v>
      </c>
      <c r="E493" s="40" t="s">
        <v>95</v>
      </c>
      <c r="F493" s="40" t="s">
        <v>173</v>
      </c>
      <c r="G493" s="41">
        <v>1</v>
      </c>
      <c r="H493" s="41">
        <v>22500</v>
      </c>
      <c r="I493" s="41">
        <v>0</v>
      </c>
      <c r="J493" s="41">
        <v>0</v>
      </c>
      <c r="K493" s="41">
        <v>21968</v>
      </c>
      <c r="L493" s="41" t="s">
        <v>1260</v>
      </c>
      <c r="M493" s="41">
        <v>532</v>
      </c>
    </row>
    <row r="494" spans="1:13" x14ac:dyDescent="0.25">
      <c r="A494" s="40" t="s">
        <v>1226</v>
      </c>
      <c r="B494" s="40" t="s">
        <v>12</v>
      </c>
      <c r="C494" s="40" t="s">
        <v>114</v>
      </c>
      <c r="D494" s="40" t="s">
        <v>1261</v>
      </c>
      <c r="E494" s="40" t="s">
        <v>95</v>
      </c>
      <c r="F494" s="40" t="s">
        <v>1071</v>
      </c>
      <c r="G494" s="41">
        <v>1</v>
      </c>
      <c r="H494" s="41">
        <v>132000</v>
      </c>
      <c r="I494" s="41">
        <v>0</v>
      </c>
      <c r="J494" s="41">
        <v>0</v>
      </c>
      <c r="K494" s="41">
        <v>132212.43</v>
      </c>
      <c r="L494" s="41" t="s">
        <v>1262</v>
      </c>
      <c r="M494" s="41">
        <v>-212.43</v>
      </c>
    </row>
    <row r="495" spans="1:13" x14ac:dyDescent="0.25">
      <c r="A495" s="40" t="s">
        <v>1226</v>
      </c>
      <c r="B495" s="40" t="s">
        <v>12</v>
      </c>
      <c r="C495" s="40" t="s">
        <v>114</v>
      </c>
      <c r="D495" s="40" t="s">
        <v>1263</v>
      </c>
      <c r="E495" s="40" t="s">
        <v>105</v>
      </c>
      <c r="F495" s="40" t="s">
        <v>1264</v>
      </c>
      <c r="G495" s="41">
        <v>1</v>
      </c>
      <c r="H495" s="41">
        <v>134000</v>
      </c>
      <c r="I495" s="41">
        <v>0</v>
      </c>
      <c r="J495" s="41">
        <v>0</v>
      </c>
      <c r="K495" s="41">
        <v>132036</v>
      </c>
      <c r="L495" s="41" t="s">
        <v>1265</v>
      </c>
      <c r="M495" s="41">
        <v>1964</v>
      </c>
    </row>
    <row r="496" spans="1:13" x14ac:dyDescent="0.25">
      <c r="A496" s="40" t="s">
        <v>1226</v>
      </c>
      <c r="B496" s="40" t="s">
        <v>12</v>
      </c>
      <c r="C496" s="40" t="s">
        <v>114</v>
      </c>
      <c r="D496" s="40" t="s">
        <v>1266</v>
      </c>
      <c r="E496" s="40" t="s">
        <v>109</v>
      </c>
      <c r="F496" s="40" t="s">
        <v>132</v>
      </c>
      <c r="G496" s="41">
        <v>1</v>
      </c>
      <c r="H496" s="41">
        <v>22000</v>
      </c>
      <c r="I496" s="41">
        <v>0</v>
      </c>
      <c r="J496" s="41">
        <v>0</v>
      </c>
      <c r="K496" s="41">
        <v>21968</v>
      </c>
      <c r="L496" s="41" t="s">
        <v>1267</v>
      </c>
      <c r="M496" s="41">
        <v>32</v>
      </c>
    </row>
    <row r="497" spans="1:13" x14ac:dyDescent="0.25">
      <c r="A497" s="40" t="s">
        <v>1226</v>
      </c>
      <c r="B497" s="40" t="s">
        <v>12</v>
      </c>
      <c r="C497" s="40" t="s">
        <v>114</v>
      </c>
      <c r="D497" s="40" t="s">
        <v>1268</v>
      </c>
      <c r="E497" s="40" t="s">
        <v>109</v>
      </c>
      <c r="F497" s="40" t="s">
        <v>132</v>
      </c>
      <c r="G497" s="41">
        <v>1</v>
      </c>
      <c r="H497" s="41">
        <v>21999</v>
      </c>
      <c r="I497" s="41">
        <v>0</v>
      </c>
      <c r="J497" s="41">
        <v>0</v>
      </c>
      <c r="K497" s="41">
        <v>21968</v>
      </c>
      <c r="L497" s="41" t="s">
        <v>1269</v>
      </c>
      <c r="M497" s="41">
        <v>31</v>
      </c>
    </row>
    <row r="498" spans="1:13" x14ac:dyDescent="0.25">
      <c r="A498" s="40" t="s">
        <v>1226</v>
      </c>
      <c r="B498" s="40" t="s">
        <v>12</v>
      </c>
      <c r="C498" s="40" t="s">
        <v>114</v>
      </c>
      <c r="D498" s="40" t="s">
        <v>1270</v>
      </c>
      <c r="E498" s="40" t="s">
        <v>109</v>
      </c>
      <c r="F498" s="40" t="s">
        <v>466</v>
      </c>
      <c r="G498" s="41">
        <v>1</v>
      </c>
      <c r="H498" s="41">
        <v>15400</v>
      </c>
      <c r="I498" s="41">
        <v>0</v>
      </c>
      <c r="J498" s="41">
        <v>0</v>
      </c>
      <c r="K498" s="41">
        <v>15000</v>
      </c>
      <c r="L498" s="41" t="s">
        <v>1271</v>
      </c>
      <c r="M498" s="41">
        <v>400</v>
      </c>
    </row>
    <row r="499" spans="1:13" x14ac:dyDescent="0.25">
      <c r="A499" s="40" t="s">
        <v>1226</v>
      </c>
      <c r="B499" s="40" t="s">
        <v>12</v>
      </c>
      <c r="C499" s="40" t="s">
        <v>114</v>
      </c>
      <c r="D499" s="40" t="s">
        <v>1272</v>
      </c>
      <c r="E499" s="40" t="s">
        <v>109</v>
      </c>
      <c r="F499" s="40" t="s">
        <v>580</v>
      </c>
      <c r="G499" s="41">
        <v>1</v>
      </c>
      <c r="H499" s="41">
        <v>17500</v>
      </c>
      <c r="I499" s="41">
        <v>0</v>
      </c>
      <c r="J499" s="41">
        <v>0</v>
      </c>
      <c r="K499" s="41">
        <v>17528</v>
      </c>
      <c r="L499" s="41" t="s">
        <v>1273</v>
      </c>
      <c r="M499" s="41">
        <v>-28</v>
      </c>
    </row>
    <row r="500" spans="1:13" x14ac:dyDescent="0.25">
      <c r="A500" s="40" t="s">
        <v>1226</v>
      </c>
      <c r="B500" s="40" t="s">
        <v>12</v>
      </c>
      <c r="C500" s="40" t="s">
        <v>114</v>
      </c>
      <c r="D500" s="40" t="s">
        <v>1274</v>
      </c>
      <c r="E500" s="40" t="s">
        <v>162</v>
      </c>
      <c r="F500" s="40" t="s">
        <v>132</v>
      </c>
      <c r="G500" s="41">
        <v>1</v>
      </c>
      <c r="H500" s="41">
        <v>22000</v>
      </c>
      <c r="I500" s="41">
        <v>0</v>
      </c>
      <c r="J500" s="41">
        <v>0</v>
      </c>
      <c r="K500" s="41">
        <v>21968</v>
      </c>
      <c r="L500" s="41" t="s">
        <v>1275</v>
      </c>
      <c r="M500" s="41">
        <v>32</v>
      </c>
    </row>
    <row r="501" spans="1:13" x14ac:dyDescent="0.25">
      <c r="A501" s="40" t="s">
        <v>1226</v>
      </c>
      <c r="B501" s="40" t="s">
        <v>12</v>
      </c>
      <c r="C501" s="40" t="s">
        <v>114</v>
      </c>
      <c r="D501" s="40" t="s">
        <v>1276</v>
      </c>
      <c r="E501" s="40" t="s">
        <v>162</v>
      </c>
      <c r="F501" s="40" t="s">
        <v>150</v>
      </c>
      <c r="G501" s="41">
        <v>1</v>
      </c>
      <c r="H501" s="41">
        <v>150000</v>
      </c>
      <c r="I501" s="41">
        <v>0</v>
      </c>
      <c r="J501" s="41">
        <v>0</v>
      </c>
      <c r="K501" s="41">
        <v>132036</v>
      </c>
      <c r="L501" s="41" t="s">
        <v>1277</v>
      </c>
      <c r="M501" s="41">
        <v>17964</v>
      </c>
    </row>
    <row r="502" spans="1:13" x14ac:dyDescent="0.25">
      <c r="A502" s="40" t="s">
        <v>1226</v>
      </c>
      <c r="B502" s="40" t="s">
        <v>12</v>
      </c>
      <c r="C502" s="40" t="s">
        <v>114</v>
      </c>
      <c r="D502" s="40" t="s">
        <v>1278</v>
      </c>
      <c r="E502" s="40" t="s">
        <v>162</v>
      </c>
      <c r="F502" s="40" t="s">
        <v>1279</v>
      </c>
      <c r="G502" s="41">
        <v>1</v>
      </c>
      <c r="H502" s="41">
        <v>43700</v>
      </c>
      <c r="I502" s="41">
        <v>0</v>
      </c>
      <c r="J502" s="41">
        <v>0</v>
      </c>
      <c r="K502" s="41">
        <v>42564</v>
      </c>
      <c r="L502" s="41" t="s">
        <v>1280</v>
      </c>
      <c r="M502" s="41">
        <v>1136</v>
      </c>
    </row>
    <row r="503" spans="1:13" x14ac:dyDescent="0.25">
      <c r="A503" s="40" t="s">
        <v>1226</v>
      </c>
      <c r="B503" s="40" t="s">
        <v>12</v>
      </c>
      <c r="C503" s="40" t="s">
        <v>114</v>
      </c>
      <c r="D503" s="40" t="s">
        <v>1281</v>
      </c>
      <c r="E503" s="40" t="s">
        <v>162</v>
      </c>
      <c r="F503" s="40" t="s">
        <v>1282</v>
      </c>
      <c r="G503" s="41">
        <v>1</v>
      </c>
      <c r="H503" s="41">
        <v>50000</v>
      </c>
      <c r="I503" s="41">
        <v>0</v>
      </c>
      <c r="J503" s="41">
        <v>0</v>
      </c>
      <c r="K503" s="41">
        <v>50544</v>
      </c>
      <c r="L503" s="41" t="s">
        <v>1283</v>
      </c>
      <c r="M503" s="41">
        <v>-544</v>
      </c>
    </row>
    <row r="504" spans="1:13" x14ac:dyDescent="0.25">
      <c r="A504" s="40" t="s">
        <v>1226</v>
      </c>
      <c r="B504" s="40" t="s">
        <v>12</v>
      </c>
      <c r="C504" s="40" t="s">
        <v>114</v>
      </c>
      <c r="D504" s="40" t="s">
        <v>1284</v>
      </c>
      <c r="E504" s="40" t="s">
        <v>30</v>
      </c>
      <c r="F504" s="40" t="s">
        <v>156</v>
      </c>
      <c r="G504" s="41">
        <v>1</v>
      </c>
      <c r="H504" s="41">
        <v>14500</v>
      </c>
      <c r="I504" s="41">
        <v>0</v>
      </c>
      <c r="J504" s="41">
        <v>0</v>
      </c>
      <c r="K504" s="41">
        <v>14440</v>
      </c>
      <c r="L504" s="41" t="s">
        <v>1285</v>
      </c>
      <c r="M504" s="41">
        <v>60</v>
      </c>
    </row>
    <row r="505" spans="1:13" x14ac:dyDescent="0.25">
      <c r="A505" s="40" t="s">
        <v>1226</v>
      </c>
      <c r="B505" s="40" t="s">
        <v>12</v>
      </c>
      <c r="C505" s="40" t="s">
        <v>114</v>
      </c>
      <c r="D505" s="40" t="s">
        <v>1286</v>
      </c>
      <c r="E505" s="40" t="s">
        <v>30</v>
      </c>
      <c r="F505" s="40" t="s">
        <v>173</v>
      </c>
      <c r="G505" s="41">
        <v>1</v>
      </c>
      <c r="H505" s="41">
        <v>22000</v>
      </c>
      <c r="I505" s="41">
        <v>0</v>
      </c>
      <c r="J505" s="41">
        <v>0</v>
      </c>
      <c r="K505" s="41">
        <v>21968</v>
      </c>
      <c r="L505" s="41" t="s">
        <v>1287</v>
      </c>
      <c r="M505" s="41">
        <v>32</v>
      </c>
    </row>
    <row r="506" spans="1:13" x14ac:dyDescent="0.25">
      <c r="A506" s="40" t="s">
        <v>1226</v>
      </c>
      <c r="B506" s="40" t="s">
        <v>12</v>
      </c>
      <c r="C506" s="40" t="s">
        <v>114</v>
      </c>
      <c r="D506" s="40" t="s">
        <v>1288</v>
      </c>
      <c r="E506" s="40" t="s">
        <v>30</v>
      </c>
      <c r="F506" s="40" t="s">
        <v>173</v>
      </c>
      <c r="G506" s="41">
        <v>1</v>
      </c>
      <c r="H506" s="41">
        <v>22500</v>
      </c>
      <c r="I506" s="41">
        <v>0</v>
      </c>
      <c r="J506" s="41">
        <v>0</v>
      </c>
      <c r="K506" s="41">
        <v>21968</v>
      </c>
      <c r="L506" s="41" t="s">
        <v>1289</v>
      </c>
      <c r="M506" s="41">
        <v>532</v>
      </c>
    </row>
    <row r="507" spans="1:13" x14ac:dyDescent="0.25">
      <c r="A507" s="40" t="s">
        <v>1226</v>
      </c>
      <c r="B507" s="40" t="s">
        <v>12</v>
      </c>
      <c r="C507" s="40" t="s">
        <v>114</v>
      </c>
      <c r="D507" s="40" t="s">
        <v>1290</v>
      </c>
      <c r="E507" s="40" t="s">
        <v>34</v>
      </c>
      <c r="F507" s="40" t="s">
        <v>127</v>
      </c>
      <c r="G507" s="41">
        <v>1</v>
      </c>
      <c r="H507" s="41">
        <v>18999</v>
      </c>
      <c r="I507" s="41">
        <v>0</v>
      </c>
      <c r="J507" s="41">
        <v>0</v>
      </c>
      <c r="K507" s="41">
        <v>17528</v>
      </c>
      <c r="L507" s="41" t="s">
        <v>1291</v>
      </c>
      <c r="M507" s="41">
        <v>1471</v>
      </c>
    </row>
    <row r="508" spans="1:13" x14ac:dyDescent="0.25">
      <c r="A508" s="40" t="s">
        <v>1226</v>
      </c>
      <c r="B508" s="40" t="s">
        <v>12</v>
      </c>
      <c r="C508" s="40" t="s">
        <v>114</v>
      </c>
      <c r="D508" s="40" t="s">
        <v>1292</v>
      </c>
      <c r="E508" s="40" t="s">
        <v>34</v>
      </c>
      <c r="F508" s="40" t="s">
        <v>170</v>
      </c>
      <c r="G508" s="41">
        <v>1</v>
      </c>
      <c r="H508" s="41">
        <v>18300</v>
      </c>
      <c r="I508" s="41">
        <v>0</v>
      </c>
      <c r="J508" s="41">
        <v>0</v>
      </c>
      <c r="K508" s="41">
        <v>18502</v>
      </c>
      <c r="L508" s="41" t="s">
        <v>1293</v>
      </c>
      <c r="M508" s="41">
        <v>-202</v>
      </c>
    </row>
    <row r="509" spans="1:13" x14ac:dyDescent="0.25">
      <c r="A509" s="40" t="s">
        <v>1226</v>
      </c>
      <c r="B509" s="40" t="s">
        <v>12</v>
      </c>
      <c r="C509" s="40" t="s">
        <v>114</v>
      </c>
      <c r="D509" s="40" t="s">
        <v>1294</v>
      </c>
      <c r="E509" s="40" t="s">
        <v>34</v>
      </c>
      <c r="F509" s="40" t="s">
        <v>257</v>
      </c>
      <c r="G509" s="41">
        <v>1</v>
      </c>
      <c r="H509" s="41">
        <v>29500</v>
      </c>
      <c r="I509" s="41">
        <v>0</v>
      </c>
      <c r="J509" s="41">
        <v>0</v>
      </c>
      <c r="K509" s="41">
        <v>29332</v>
      </c>
      <c r="L509" s="41" t="s">
        <v>1295</v>
      </c>
      <c r="M509" s="41">
        <v>168</v>
      </c>
    </row>
    <row r="510" spans="1:13" x14ac:dyDescent="0.25">
      <c r="A510" s="40" t="s">
        <v>1226</v>
      </c>
      <c r="B510" s="40" t="s">
        <v>12</v>
      </c>
      <c r="C510" s="40" t="s">
        <v>114</v>
      </c>
      <c r="D510" s="40" t="s">
        <v>1296</v>
      </c>
      <c r="E510" s="40" t="s">
        <v>34</v>
      </c>
      <c r="F510" s="40" t="s">
        <v>144</v>
      </c>
      <c r="G510" s="41">
        <v>1</v>
      </c>
      <c r="H510" s="41">
        <v>17500</v>
      </c>
      <c r="I510" s="41">
        <v>0</v>
      </c>
      <c r="J510" s="41">
        <v>0</v>
      </c>
      <c r="K510" s="41">
        <v>17528</v>
      </c>
      <c r="L510" s="41" t="s">
        <v>1297</v>
      </c>
      <c r="M510" s="41">
        <v>-28</v>
      </c>
    </row>
    <row r="511" spans="1:13" x14ac:dyDescent="0.25">
      <c r="A511" s="40" t="s">
        <v>1226</v>
      </c>
      <c r="B511" s="40" t="s">
        <v>12</v>
      </c>
      <c r="C511" s="40" t="s">
        <v>114</v>
      </c>
      <c r="D511" s="40" t="s">
        <v>1298</v>
      </c>
      <c r="E511" s="40" t="s">
        <v>41</v>
      </c>
      <c r="F511" s="40" t="s">
        <v>1089</v>
      </c>
      <c r="G511" s="41">
        <v>1</v>
      </c>
      <c r="H511" s="41">
        <v>164000</v>
      </c>
      <c r="I511" s="41">
        <v>0</v>
      </c>
      <c r="J511" s="41">
        <v>0</v>
      </c>
      <c r="K511" s="41">
        <v>165504</v>
      </c>
      <c r="L511" s="41" t="s">
        <v>1299</v>
      </c>
      <c r="M511" s="41">
        <v>-1504</v>
      </c>
    </row>
    <row r="512" spans="1:13" x14ac:dyDescent="0.25">
      <c r="A512" s="40" t="s">
        <v>1226</v>
      </c>
      <c r="B512" s="40" t="s">
        <v>12</v>
      </c>
      <c r="C512" s="40" t="s">
        <v>114</v>
      </c>
      <c r="D512" s="40" t="s">
        <v>1300</v>
      </c>
      <c r="E512" s="40" t="s">
        <v>41</v>
      </c>
      <c r="F512" s="40" t="s">
        <v>124</v>
      </c>
      <c r="G512" s="41">
        <v>1</v>
      </c>
      <c r="H512" s="41">
        <v>16000</v>
      </c>
      <c r="I512" s="41">
        <v>0</v>
      </c>
      <c r="J512" s="41">
        <v>0</v>
      </c>
      <c r="K512" s="41">
        <v>15000</v>
      </c>
      <c r="L512" s="41" t="s">
        <v>1301</v>
      </c>
      <c r="M512" s="41">
        <v>1000</v>
      </c>
    </row>
    <row r="513" spans="1:13" x14ac:dyDescent="0.25">
      <c r="A513" s="40" t="s">
        <v>1226</v>
      </c>
      <c r="B513" s="40" t="s">
        <v>12</v>
      </c>
      <c r="C513" s="40" t="s">
        <v>114</v>
      </c>
      <c r="D513" s="40" t="s">
        <v>1302</v>
      </c>
      <c r="E513" s="40" t="s">
        <v>45</v>
      </c>
      <c r="F513" s="40" t="s">
        <v>173</v>
      </c>
      <c r="G513" s="41">
        <v>1</v>
      </c>
      <c r="H513" s="41">
        <v>22000</v>
      </c>
      <c r="I513" s="41">
        <v>0</v>
      </c>
      <c r="J513" s="41">
        <v>0</v>
      </c>
      <c r="K513" s="41">
        <v>21968</v>
      </c>
      <c r="L513" s="41" t="s">
        <v>1303</v>
      </c>
      <c r="M513" s="41">
        <v>32</v>
      </c>
    </row>
    <row r="514" spans="1:13" x14ac:dyDescent="0.25">
      <c r="A514" s="40" t="s">
        <v>1226</v>
      </c>
      <c r="B514" s="40" t="s">
        <v>12</v>
      </c>
      <c r="C514" s="40" t="s">
        <v>114</v>
      </c>
      <c r="D514" s="40" t="s">
        <v>1304</v>
      </c>
      <c r="E514" s="40" t="s">
        <v>45</v>
      </c>
      <c r="F514" s="40" t="s">
        <v>127</v>
      </c>
      <c r="G514" s="41">
        <v>1</v>
      </c>
      <c r="H514" s="41">
        <v>19600</v>
      </c>
      <c r="I514" s="41">
        <v>0</v>
      </c>
      <c r="J514" s="41">
        <v>0</v>
      </c>
      <c r="K514" s="41">
        <v>17528</v>
      </c>
      <c r="L514" s="41" t="s">
        <v>1305</v>
      </c>
      <c r="M514" s="41">
        <v>2072</v>
      </c>
    </row>
    <row r="515" spans="1:13" x14ac:dyDescent="0.25">
      <c r="A515" s="40" t="s">
        <v>1226</v>
      </c>
      <c r="B515" s="40" t="s">
        <v>12</v>
      </c>
      <c r="C515" s="40" t="s">
        <v>82</v>
      </c>
      <c r="D515" s="40" t="s">
        <v>1306</v>
      </c>
      <c r="E515" s="40" t="s">
        <v>30</v>
      </c>
      <c r="F515" s="40" t="s">
        <v>385</v>
      </c>
      <c r="G515" s="41">
        <v>1</v>
      </c>
      <c r="H515" s="41">
        <v>13500</v>
      </c>
      <c r="I515" s="41">
        <v>0</v>
      </c>
      <c r="J515" s="41">
        <v>0</v>
      </c>
      <c r="K515" s="41">
        <v>13539</v>
      </c>
      <c r="L515" s="41" t="s">
        <v>1307</v>
      </c>
      <c r="M515" s="41">
        <v>-39</v>
      </c>
    </row>
    <row r="516" spans="1:13" x14ac:dyDescent="0.25">
      <c r="A516" s="40" t="s">
        <v>1308</v>
      </c>
      <c r="B516" s="40" t="s">
        <v>27</v>
      </c>
      <c r="C516" s="40" t="s">
        <v>87</v>
      </c>
      <c r="D516" s="40" t="s">
        <v>1309</v>
      </c>
      <c r="E516" s="40" t="s">
        <v>30</v>
      </c>
      <c r="F516" s="40" t="s">
        <v>1310</v>
      </c>
      <c r="G516" s="41">
        <v>1</v>
      </c>
      <c r="H516" s="41">
        <v>82900</v>
      </c>
      <c r="I516" s="41">
        <v>0</v>
      </c>
      <c r="J516" s="41">
        <v>0</v>
      </c>
      <c r="K516" s="41">
        <v>80397</v>
      </c>
      <c r="L516" s="41" t="s">
        <v>1311</v>
      </c>
      <c r="M516" s="41">
        <v>2503</v>
      </c>
    </row>
    <row r="517" spans="1:13" x14ac:dyDescent="0.25">
      <c r="A517" s="40" t="s">
        <v>1308</v>
      </c>
      <c r="B517" s="40" t="s">
        <v>27</v>
      </c>
      <c r="C517" s="40" t="s">
        <v>609</v>
      </c>
      <c r="D517" s="40" t="s">
        <v>1312</v>
      </c>
      <c r="E517" s="40" t="s">
        <v>30</v>
      </c>
      <c r="F517" s="40" t="s">
        <v>1313</v>
      </c>
      <c r="G517" s="41">
        <v>1</v>
      </c>
      <c r="H517" s="41">
        <v>2000</v>
      </c>
      <c r="I517" s="41">
        <v>0</v>
      </c>
      <c r="J517" s="41">
        <v>0</v>
      </c>
      <c r="K517" s="41">
        <v>1532</v>
      </c>
      <c r="L517" s="41" t="s">
        <v>1314</v>
      </c>
      <c r="M517" s="41">
        <v>468</v>
      </c>
    </row>
    <row r="518" spans="1:13" x14ac:dyDescent="0.25">
      <c r="A518" s="40" t="s">
        <v>1308</v>
      </c>
      <c r="B518" s="40" t="s">
        <v>27</v>
      </c>
      <c r="C518" s="40" t="s">
        <v>28</v>
      </c>
      <c r="D518" s="40" t="s">
        <v>1315</v>
      </c>
      <c r="E518" s="40" t="s">
        <v>95</v>
      </c>
      <c r="F518" s="40" t="s">
        <v>430</v>
      </c>
      <c r="G518" s="41">
        <v>1</v>
      </c>
      <c r="H518" s="41">
        <v>18500</v>
      </c>
      <c r="I518" s="41">
        <v>0</v>
      </c>
      <c r="J518" s="41">
        <v>0</v>
      </c>
      <c r="K518" s="41">
        <v>18454</v>
      </c>
      <c r="L518" s="41" t="s">
        <v>1316</v>
      </c>
      <c r="M518" s="41">
        <v>46</v>
      </c>
    </row>
    <row r="519" spans="1:13" x14ac:dyDescent="0.25">
      <c r="A519" s="40" t="s">
        <v>1308</v>
      </c>
      <c r="B519" s="40" t="s">
        <v>27</v>
      </c>
      <c r="C519" s="40" t="s">
        <v>28</v>
      </c>
      <c r="D519" s="40" t="s">
        <v>1317</v>
      </c>
      <c r="E519" s="40" t="s">
        <v>95</v>
      </c>
      <c r="F519" s="40" t="s">
        <v>1318</v>
      </c>
      <c r="G519" s="41">
        <v>1</v>
      </c>
      <c r="H519" s="41">
        <v>12000</v>
      </c>
      <c r="I519" s="41">
        <v>0</v>
      </c>
      <c r="J519" s="41">
        <v>0</v>
      </c>
      <c r="K519" s="41">
        <v>11654</v>
      </c>
      <c r="L519" s="41" t="s">
        <v>1319</v>
      </c>
      <c r="M519" s="41">
        <v>346</v>
      </c>
    </row>
    <row r="520" spans="1:13" x14ac:dyDescent="0.25">
      <c r="A520" s="40" t="s">
        <v>1308</v>
      </c>
      <c r="B520" s="40" t="s">
        <v>27</v>
      </c>
      <c r="C520" s="40" t="s">
        <v>18</v>
      </c>
      <c r="D520" s="40" t="s">
        <v>1320</v>
      </c>
      <c r="E520" s="40" t="s">
        <v>15</v>
      </c>
      <c r="F520" s="40" t="s">
        <v>525</v>
      </c>
      <c r="G520" s="41">
        <v>1</v>
      </c>
      <c r="H520" s="41">
        <v>1100</v>
      </c>
      <c r="I520" s="41">
        <v>0</v>
      </c>
      <c r="J520" s="41">
        <v>0</v>
      </c>
      <c r="K520" s="41">
        <v>815</v>
      </c>
      <c r="L520" s="41" t="s">
        <v>1321</v>
      </c>
      <c r="M520" s="41">
        <v>285</v>
      </c>
    </row>
    <row r="521" spans="1:13" x14ac:dyDescent="0.25">
      <c r="A521" s="40" t="s">
        <v>1308</v>
      </c>
      <c r="B521" s="40" t="s">
        <v>27</v>
      </c>
      <c r="C521" s="40" t="s">
        <v>18</v>
      </c>
      <c r="D521" s="40" t="s">
        <v>1322</v>
      </c>
      <c r="E521" s="40" t="s">
        <v>135</v>
      </c>
      <c r="F521" s="40" t="s">
        <v>840</v>
      </c>
      <c r="G521" s="41">
        <v>1</v>
      </c>
      <c r="H521" s="41">
        <v>1950</v>
      </c>
      <c r="I521" s="41">
        <v>0</v>
      </c>
      <c r="J521" s="41">
        <v>0</v>
      </c>
      <c r="K521" s="41">
        <v>2034</v>
      </c>
      <c r="L521" s="41" t="s">
        <v>1323</v>
      </c>
      <c r="M521" s="41">
        <v>-84</v>
      </c>
    </row>
    <row r="522" spans="1:13" x14ac:dyDescent="0.25">
      <c r="A522" s="40" t="s">
        <v>1308</v>
      </c>
      <c r="B522" s="40" t="s">
        <v>27</v>
      </c>
      <c r="C522" s="40" t="s">
        <v>18</v>
      </c>
      <c r="D522" s="40" t="s">
        <v>1322</v>
      </c>
      <c r="E522" s="40" t="s">
        <v>135</v>
      </c>
      <c r="F522" s="40" t="s">
        <v>840</v>
      </c>
      <c r="G522" s="41">
        <v>1</v>
      </c>
      <c r="H522" s="41">
        <v>1950</v>
      </c>
      <c r="I522" s="41">
        <v>0</v>
      </c>
      <c r="J522" s="41">
        <v>0</v>
      </c>
      <c r="K522" s="41">
        <v>2034</v>
      </c>
      <c r="L522" s="41" t="s">
        <v>1324</v>
      </c>
      <c r="M522" s="41">
        <v>-84</v>
      </c>
    </row>
    <row r="523" spans="1:13" x14ac:dyDescent="0.25">
      <c r="A523" s="40" t="s">
        <v>1308</v>
      </c>
      <c r="B523" s="40" t="s">
        <v>27</v>
      </c>
      <c r="C523" s="40" t="s">
        <v>18</v>
      </c>
      <c r="D523" s="40" t="s">
        <v>1322</v>
      </c>
      <c r="E523" s="40" t="s">
        <v>135</v>
      </c>
      <c r="F523" s="40" t="s">
        <v>1325</v>
      </c>
      <c r="G523" s="41">
        <v>1</v>
      </c>
      <c r="H523" s="41">
        <v>1950</v>
      </c>
      <c r="I523" s="41">
        <v>0</v>
      </c>
      <c r="J523" s="41">
        <v>0</v>
      </c>
      <c r="K523" s="41">
        <v>2034</v>
      </c>
      <c r="L523" s="41" t="s">
        <v>1326</v>
      </c>
      <c r="M523" s="41">
        <v>-84</v>
      </c>
    </row>
    <row r="524" spans="1:13" x14ac:dyDescent="0.25">
      <c r="A524" s="40" t="s">
        <v>1308</v>
      </c>
      <c r="B524" s="40" t="s">
        <v>27</v>
      </c>
      <c r="C524" s="40" t="s">
        <v>18</v>
      </c>
      <c r="D524" s="40" t="s">
        <v>1327</v>
      </c>
      <c r="E524" s="40" t="s">
        <v>105</v>
      </c>
      <c r="F524" s="40" t="s">
        <v>20</v>
      </c>
      <c r="G524" s="41">
        <v>1</v>
      </c>
      <c r="H524" s="41">
        <v>1200</v>
      </c>
      <c r="I524" s="41">
        <v>0</v>
      </c>
      <c r="J524" s="41">
        <v>0</v>
      </c>
      <c r="K524" s="41">
        <v>1157</v>
      </c>
      <c r="L524" s="41" t="s">
        <v>1328</v>
      </c>
      <c r="M524" s="41">
        <v>43</v>
      </c>
    </row>
    <row r="525" spans="1:13" x14ac:dyDescent="0.25">
      <c r="A525" s="40" t="s">
        <v>1308</v>
      </c>
      <c r="B525" s="40" t="s">
        <v>27</v>
      </c>
      <c r="C525" s="40" t="s">
        <v>360</v>
      </c>
      <c r="D525" s="40" t="s">
        <v>1329</v>
      </c>
      <c r="E525" s="40" t="s">
        <v>41</v>
      </c>
      <c r="F525" s="40" t="s">
        <v>1330</v>
      </c>
      <c r="G525" s="41">
        <v>1</v>
      </c>
      <c r="H525" s="41">
        <v>19500</v>
      </c>
      <c r="I525" s="41">
        <v>0</v>
      </c>
      <c r="J525" s="41">
        <v>0</v>
      </c>
      <c r="K525" s="41">
        <v>19284</v>
      </c>
      <c r="L525" s="41" t="s">
        <v>1331</v>
      </c>
      <c r="M525" s="41">
        <v>216</v>
      </c>
    </row>
    <row r="526" spans="1:13" x14ac:dyDescent="0.25">
      <c r="A526" s="40" t="s">
        <v>1308</v>
      </c>
      <c r="B526" s="40" t="s">
        <v>27</v>
      </c>
      <c r="C526" s="40" t="s">
        <v>247</v>
      </c>
      <c r="D526" s="40" t="s">
        <v>1332</v>
      </c>
      <c r="E526" s="40" t="s">
        <v>95</v>
      </c>
      <c r="F526" s="40" t="s">
        <v>249</v>
      </c>
      <c r="G526" s="41">
        <v>1</v>
      </c>
      <c r="H526" s="41">
        <v>11000</v>
      </c>
      <c r="I526" s="41">
        <v>0</v>
      </c>
      <c r="J526" s="41">
        <v>0</v>
      </c>
      <c r="K526" s="41">
        <v>10807</v>
      </c>
      <c r="L526" s="41" t="s">
        <v>1333</v>
      </c>
      <c r="M526" s="41">
        <v>193</v>
      </c>
    </row>
    <row r="527" spans="1:13" x14ac:dyDescent="0.25">
      <c r="A527" s="40" t="s">
        <v>1308</v>
      </c>
      <c r="B527" s="40" t="s">
        <v>27</v>
      </c>
      <c r="C527" s="40" t="s">
        <v>247</v>
      </c>
      <c r="D527" s="40" t="s">
        <v>1334</v>
      </c>
      <c r="E527" s="40" t="s">
        <v>95</v>
      </c>
      <c r="F527" s="40" t="s">
        <v>249</v>
      </c>
      <c r="G527" s="41">
        <v>1</v>
      </c>
      <c r="H527" s="41">
        <v>10999</v>
      </c>
      <c r="I527" s="41">
        <v>0</v>
      </c>
      <c r="J527" s="41">
        <v>0</v>
      </c>
      <c r="K527" s="41">
        <v>10807</v>
      </c>
      <c r="L527" s="41" t="s">
        <v>1335</v>
      </c>
      <c r="M527" s="41">
        <v>192</v>
      </c>
    </row>
    <row r="528" spans="1:13" x14ac:dyDescent="0.25">
      <c r="A528" s="40" t="s">
        <v>1308</v>
      </c>
      <c r="B528" s="40" t="s">
        <v>27</v>
      </c>
      <c r="C528" s="40" t="s">
        <v>247</v>
      </c>
      <c r="D528" s="40" t="s">
        <v>1336</v>
      </c>
      <c r="E528" s="40" t="s">
        <v>109</v>
      </c>
      <c r="F528" s="40" t="s">
        <v>249</v>
      </c>
      <c r="G528" s="41">
        <v>1</v>
      </c>
      <c r="H528" s="41">
        <v>11000</v>
      </c>
      <c r="I528" s="41">
        <v>0</v>
      </c>
      <c r="J528" s="41">
        <v>0</v>
      </c>
      <c r="K528" s="41">
        <v>10807</v>
      </c>
      <c r="L528" s="41" t="s">
        <v>1337</v>
      </c>
      <c r="M528" s="41">
        <v>193</v>
      </c>
    </row>
    <row r="529" spans="1:13" x14ac:dyDescent="0.25">
      <c r="A529" s="40" t="s">
        <v>1308</v>
      </c>
      <c r="B529" s="40" t="s">
        <v>27</v>
      </c>
      <c r="C529" s="40" t="s">
        <v>247</v>
      </c>
      <c r="D529" s="40" t="s">
        <v>1338</v>
      </c>
      <c r="E529" s="40" t="s">
        <v>34</v>
      </c>
      <c r="F529" s="40" t="s">
        <v>249</v>
      </c>
      <c r="G529" s="41">
        <v>1</v>
      </c>
      <c r="H529" s="41">
        <v>10700</v>
      </c>
      <c r="I529" s="41">
        <v>0</v>
      </c>
      <c r="J529" s="41">
        <v>0</v>
      </c>
      <c r="K529" s="41">
        <v>10807</v>
      </c>
      <c r="L529" s="41" t="s">
        <v>1339</v>
      </c>
      <c r="M529" s="41">
        <v>-107</v>
      </c>
    </row>
    <row r="530" spans="1:13" x14ac:dyDescent="0.25">
      <c r="A530" s="40" t="s">
        <v>1308</v>
      </c>
      <c r="B530" s="40" t="s">
        <v>27</v>
      </c>
      <c r="C530" s="40" t="s">
        <v>50</v>
      </c>
      <c r="D530" s="40" t="s">
        <v>1340</v>
      </c>
      <c r="E530" s="40" t="s">
        <v>30</v>
      </c>
      <c r="F530" s="40" t="s">
        <v>1341</v>
      </c>
      <c r="G530" s="41">
        <v>1</v>
      </c>
      <c r="H530" s="41">
        <v>21923</v>
      </c>
      <c r="I530" s="41">
        <v>0</v>
      </c>
      <c r="J530" s="41">
        <v>0</v>
      </c>
      <c r="K530" s="41">
        <v>20977</v>
      </c>
      <c r="L530" s="41" t="s">
        <v>1342</v>
      </c>
      <c r="M530" s="41">
        <v>946</v>
      </c>
    </row>
    <row r="531" spans="1:13" x14ac:dyDescent="0.25">
      <c r="A531" s="40" t="s">
        <v>1308</v>
      </c>
      <c r="B531" s="40" t="s">
        <v>27</v>
      </c>
      <c r="C531" s="40" t="s">
        <v>50</v>
      </c>
      <c r="D531" s="40" t="s">
        <v>1343</v>
      </c>
      <c r="E531" s="40" t="s">
        <v>30</v>
      </c>
      <c r="F531" s="40" t="s">
        <v>52</v>
      </c>
      <c r="G531" s="41">
        <v>1</v>
      </c>
      <c r="H531" s="41">
        <v>13500</v>
      </c>
      <c r="I531" s="41">
        <v>0</v>
      </c>
      <c r="J531" s="41">
        <v>0</v>
      </c>
      <c r="K531" s="41">
        <v>13582</v>
      </c>
      <c r="L531" s="41" t="s">
        <v>1344</v>
      </c>
      <c r="M531" s="41">
        <v>-82</v>
      </c>
    </row>
    <row r="532" spans="1:13" x14ac:dyDescent="0.25">
      <c r="A532" s="40" t="s">
        <v>1308</v>
      </c>
      <c r="B532" s="40" t="s">
        <v>27</v>
      </c>
      <c r="C532" s="40" t="s">
        <v>50</v>
      </c>
      <c r="D532" s="40" t="s">
        <v>1345</v>
      </c>
      <c r="E532" s="40" t="s">
        <v>34</v>
      </c>
      <c r="F532" s="40" t="s">
        <v>52</v>
      </c>
      <c r="G532" s="41">
        <v>1</v>
      </c>
      <c r="H532" s="41">
        <v>13770</v>
      </c>
      <c r="I532" s="41">
        <v>0</v>
      </c>
      <c r="J532" s="41">
        <v>0</v>
      </c>
      <c r="K532" s="41">
        <v>13582</v>
      </c>
      <c r="L532" s="41" t="s">
        <v>1346</v>
      </c>
      <c r="M532" s="41">
        <v>188</v>
      </c>
    </row>
    <row r="533" spans="1:13" x14ac:dyDescent="0.25">
      <c r="A533" s="40" t="s">
        <v>1308</v>
      </c>
      <c r="B533" s="40" t="s">
        <v>27</v>
      </c>
      <c r="C533" s="40" t="s">
        <v>50</v>
      </c>
      <c r="D533" s="40" t="s">
        <v>1347</v>
      </c>
      <c r="E533" s="40" t="s">
        <v>41</v>
      </c>
      <c r="F533" s="40" t="s">
        <v>998</v>
      </c>
      <c r="G533" s="41">
        <v>1</v>
      </c>
      <c r="H533" s="41">
        <v>20500</v>
      </c>
      <c r="I533" s="41">
        <v>0</v>
      </c>
      <c r="J533" s="41">
        <v>0</v>
      </c>
      <c r="K533" s="41">
        <v>20246</v>
      </c>
      <c r="L533" s="41" t="s">
        <v>1348</v>
      </c>
      <c r="M533" s="41">
        <v>254</v>
      </c>
    </row>
    <row r="534" spans="1:13" x14ac:dyDescent="0.25">
      <c r="A534" s="40" t="s">
        <v>1308</v>
      </c>
      <c r="B534" s="40" t="s">
        <v>27</v>
      </c>
      <c r="C534" s="40" t="s">
        <v>50</v>
      </c>
      <c r="D534" s="40" t="s">
        <v>1349</v>
      </c>
      <c r="E534" s="40" t="s">
        <v>41</v>
      </c>
      <c r="F534" s="40" t="s">
        <v>991</v>
      </c>
      <c r="G534" s="41">
        <v>1</v>
      </c>
      <c r="H534" s="41">
        <v>30000</v>
      </c>
      <c r="I534" s="41">
        <v>0</v>
      </c>
      <c r="J534" s="41">
        <v>0</v>
      </c>
      <c r="K534" s="41">
        <v>31010</v>
      </c>
      <c r="L534" s="41" t="s">
        <v>1350</v>
      </c>
      <c r="M534" s="41">
        <v>-1010</v>
      </c>
    </row>
    <row r="535" spans="1:13" x14ac:dyDescent="0.25">
      <c r="A535" s="40" t="s">
        <v>1308</v>
      </c>
      <c r="B535" s="40" t="s">
        <v>27</v>
      </c>
      <c r="C535" s="40" t="s">
        <v>114</v>
      </c>
      <c r="D535" s="40" t="s">
        <v>1351</v>
      </c>
      <c r="E535" s="40" t="s">
        <v>105</v>
      </c>
      <c r="F535" s="40" t="s">
        <v>156</v>
      </c>
      <c r="G535" s="41">
        <v>1</v>
      </c>
      <c r="H535" s="41">
        <v>15000</v>
      </c>
      <c r="I535" s="41">
        <v>0</v>
      </c>
      <c r="J535" s="41">
        <v>0</v>
      </c>
      <c r="K535" s="41">
        <v>14440</v>
      </c>
      <c r="L535" s="41" t="s">
        <v>1352</v>
      </c>
      <c r="M535" s="41">
        <v>560</v>
      </c>
    </row>
    <row r="536" spans="1:13" x14ac:dyDescent="0.25">
      <c r="A536" s="40" t="s">
        <v>1308</v>
      </c>
      <c r="B536" s="40" t="s">
        <v>27</v>
      </c>
      <c r="C536" s="40" t="s">
        <v>60</v>
      </c>
      <c r="D536" s="40" t="s">
        <v>1353</v>
      </c>
      <c r="E536" s="40" t="s">
        <v>15</v>
      </c>
      <c r="F536" s="40" t="s">
        <v>74</v>
      </c>
      <c r="G536" s="41">
        <v>1</v>
      </c>
      <c r="H536" s="41">
        <v>14800</v>
      </c>
      <c r="I536" s="41">
        <v>0</v>
      </c>
      <c r="J536" s="41">
        <v>0</v>
      </c>
      <c r="K536" s="41">
        <v>14010</v>
      </c>
      <c r="L536" s="41" t="s">
        <v>1354</v>
      </c>
      <c r="M536" s="41">
        <v>790</v>
      </c>
    </row>
    <row r="537" spans="1:13" x14ac:dyDescent="0.25">
      <c r="A537" s="40" t="s">
        <v>1308</v>
      </c>
      <c r="B537" s="40" t="s">
        <v>27</v>
      </c>
      <c r="C537" s="40" t="s">
        <v>82</v>
      </c>
      <c r="D537" s="40" t="s">
        <v>1355</v>
      </c>
      <c r="E537" s="40" t="s">
        <v>162</v>
      </c>
      <c r="F537" s="40" t="s">
        <v>343</v>
      </c>
      <c r="G537" s="41">
        <v>1</v>
      </c>
      <c r="H537" s="41">
        <v>23500</v>
      </c>
      <c r="I537" s="41">
        <v>0</v>
      </c>
      <c r="J537" s="41">
        <v>0</v>
      </c>
      <c r="K537" s="41">
        <v>23090</v>
      </c>
      <c r="L537" s="41" t="s">
        <v>1356</v>
      </c>
      <c r="M537" s="41">
        <v>410</v>
      </c>
    </row>
    <row r="538" spans="1:13" x14ac:dyDescent="0.25">
      <c r="A538" s="40" t="s">
        <v>1308</v>
      </c>
      <c r="B538" s="40" t="s">
        <v>27</v>
      </c>
      <c r="C538" s="40" t="s">
        <v>82</v>
      </c>
      <c r="D538" s="40" t="s">
        <v>1357</v>
      </c>
      <c r="E538" s="40" t="s">
        <v>45</v>
      </c>
      <c r="F538" s="40" t="s">
        <v>379</v>
      </c>
      <c r="G538" s="41">
        <v>1</v>
      </c>
      <c r="H538" s="41">
        <v>13600</v>
      </c>
      <c r="I538" s="41">
        <v>0</v>
      </c>
      <c r="J538" s="41">
        <v>0</v>
      </c>
      <c r="K538" s="41">
        <v>13539</v>
      </c>
      <c r="L538" s="41" t="s">
        <v>1358</v>
      </c>
      <c r="M538" s="41">
        <v>61</v>
      </c>
    </row>
    <row r="539" spans="1:13" x14ac:dyDescent="0.25">
      <c r="A539" s="40" t="s">
        <v>1359</v>
      </c>
      <c r="B539" s="40" t="s">
        <v>12</v>
      </c>
      <c r="C539" s="40" t="s">
        <v>28</v>
      </c>
      <c r="D539" s="40" t="s">
        <v>1360</v>
      </c>
      <c r="E539" s="40" t="s">
        <v>24</v>
      </c>
      <c r="F539" s="40" t="s">
        <v>500</v>
      </c>
      <c r="G539" s="41">
        <v>1</v>
      </c>
      <c r="H539" s="41">
        <v>26999</v>
      </c>
      <c r="I539" s="41">
        <v>0</v>
      </c>
      <c r="J539" s="41">
        <v>0</v>
      </c>
      <c r="K539" s="41">
        <v>25975</v>
      </c>
      <c r="L539" s="41" t="s">
        <v>1361</v>
      </c>
      <c r="M539" s="41">
        <v>1024</v>
      </c>
    </row>
    <row r="540" spans="1:13" x14ac:dyDescent="0.25">
      <c r="A540" s="40" t="s">
        <v>1359</v>
      </c>
      <c r="B540" s="40" t="s">
        <v>12</v>
      </c>
      <c r="C540" s="40" t="s">
        <v>28</v>
      </c>
      <c r="D540" s="40" t="s">
        <v>1362</v>
      </c>
      <c r="E540" s="40" t="s">
        <v>34</v>
      </c>
      <c r="F540" s="40" t="s">
        <v>106</v>
      </c>
      <c r="G540" s="41">
        <v>1</v>
      </c>
      <c r="H540" s="41">
        <v>16500</v>
      </c>
      <c r="I540" s="41">
        <v>0</v>
      </c>
      <c r="J540" s="41">
        <v>0</v>
      </c>
      <c r="K540" s="41">
        <v>16511</v>
      </c>
      <c r="L540" s="41" t="s">
        <v>1363</v>
      </c>
      <c r="M540" s="41">
        <v>-11</v>
      </c>
    </row>
    <row r="541" spans="1:13" x14ac:dyDescent="0.25">
      <c r="A541" s="40" t="s">
        <v>1359</v>
      </c>
      <c r="B541" s="40" t="s">
        <v>12</v>
      </c>
      <c r="C541" s="40" t="s">
        <v>28</v>
      </c>
      <c r="D541" s="40" t="s">
        <v>1364</v>
      </c>
      <c r="E541" s="40" t="s">
        <v>41</v>
      </c>
      <c r="F541" s="40" t="s">
        <v>106</v>
      </c>
      <c r="G541" s="41">
        <v>1</v>
      </c>
      <c r="H541" s="41">
        <v>16999</v>
      </c>
      <c r="I541" s="41">
        <v>0</v>
      </c>
      <c r="J541" s="41">
        <v>0</v>
      </c>
      <c r="K541" s="41">
        <v>16511</v>
      </c>
      <c r="L541" s="41" t="s">
        <v>1365</v>
      </c>
      <c r="M541" s="41">
        <v>488</v>
      </c>
    </row>
    <row r="542" spans="1:13" x14ac:dyDescent="0.25">
      <c r="A542" s="40" t="s">
        <v>1359</v>
      </c>
      <c r="B542" s="40" t="s">
        <v>12</v>
      </c>
      <c r="C542" s="40" t="s">
        <v>18</v>
      </c>
      <c r="D542" s="40" t="s">
        <v>1366</v>
      </c>
      <c r="E542" s="40" t="s">
        <v>45</v>
      </c>
      <c r="F542" s="40" t="s">
        <v>20</v>
      </c>
      <c r="G542" s="41">
        <v>1</v>
      </c>
      <c r="H542" s="41">
        <v>1200</v>
      </c>
      <c r="I542" s="41">
        <v>0</v>
      </c>
      <c r="J542" s="41">
        <v>0</v>
      </c>
      <c r="K542" s="41">
        <v>1157</v>
      </c>
      <c r="L542" s="41" t="s">
        <v>1367</v>
      </c>
      <c r="M542" s="41">
        <v>43</v>
      </c>
    </row>
    <row r="543" spans="1:13" x14ac:dyDescent="0.25">
      <c r="A543" s="40" t="s">
        <v>1359</v>
      </c>
      <c r="B543" s="40" t="s">
        <v>12</v>
      </c>
      <c r="C543" s="40" t="s">
        <v>22</v>
      </c>
      <c r="D543" s="40" t="s">
        <v>1368</v>
      </c>
      <c r="E543" s="40" t="s">
        <v>30</v>
      </c>
      <c r="F543" s="40" t="s">
        <v>532</v>
      </c>
      <c r="G543" s="41">
        <v>1</v>
      </c>
      <c r="H543" s="41">
        <v>36000</v>
      </c>
      <c r="I543" s="41">
        <v>0</v>
      </c>
      <c r="J543" s="41">
        <v>0</v>
      </c>
      <c r="K543" s="41">
        <v>36052</v>
      </c>
      <c r="L543" s="41" t="s">
        <v>1369</v>
      </c>
      <c r="M543" s="41">
        <v>-52</v>
      </c>
    </row>
    <row r="544" spans="1:13" x14ac:dyDescent="0.25">
      <c r="A544" s="40" t="s">
        <v>1359</v>
      </c>
      <c r="B544" s="40" t="s">
        <v>12</v>
      </c>
      <c r="C544" s="40" t="s">
        <v>22</v>
      </c>
      <c r="D544" s="40" t="s">
        <v>1370</v>
      </c>
      <c r="E544" s="40" t="s">
        <v>30</v>
      </c>
      <c r="F544" s="40" t="s">
        <v>25</v>
      </c>
      <c r="G544" s="41">
        <v>1</v>
      </c>
      <c r="H544" s="41">
        <v>33999</v>
      </c>
      <c r="I544" s="41">
        <v>0</v>
      </c>
      <c r="J544" s="41">
        <v>0</v>
      </c>
      <c r="K544" s="41">
        <v>33129</v>
      </c>
      <c r="L544" s="41" t="s">
        <v>1371</v>
      </c>
      <c r="M544" s="41">
        <v>870</v>
      </c>
    </row>
    <row r="545" spans="1:13" x14ac:dyDescent="0.25">
      <c r="A545" s="40" t="s">
        <v>1359</v>
      </c>
      <c r="B545" s="40" t="s">
        <v>12</v>
      </c>
      <c r="C545" s="40" t="s">
        <v>50</v>
      </c>
      <c r="D545" s="40" t="s">
        <v>1372</v>
      </c>
      <c r="E545" s="40" t="s">
        <v>105</v>
      </c>
      <c r="F545" s="40" t="s">
        <v>991</v>
      </c>
      <c r="G545" s="41">
        <v>1</v>
      </c>
      <c r="H545" s="41">
        <v>31500</v>
      </c>
      <c r="I545" s="41">
        <v>0</v>
      </c>
      <c r="J545" s="41">
        <v>0</v>
      </c>
      <c r="K545" s="41">
        <v>31010</v>
      </c>
      <c r="L545" s="41" t="s">
        <v>1373</v>
      </c>
      <c r="M545" s="41">
        <v>490</v>
      </c>
    </row>
    <row r="546" spans="1:13" x14ac:dyDescent="0.25">
      <c r="A546" s="40" t="s">
        <v>1359</v>
      </c>
      <c r="B546" s="40" t="s">
        <v>12</v>
      </c>
      <c r="C546" s="40" t="s">
        <v>114</v>
      </c>
      <c r="D546" s="40" t="s">
        <v>1374</v>
      </c>
      <c r="E546" s="40" t="s">
        <v>41</v>
      </c>
      <c r="F546" s="40" t="s">
        <v>1375</v>
      </c>
      <c r="G546" s="41">
        <v>1</v>
      </c>
      <c r="H546" s="41">
        <v>39498</v>
      </c>
      <c r="I546" s="41">
        <v>0</v>
      </c>
      <c r="J546" s="41">
        <v>0</v>
      </c>
      <c r="K546" s="41">
        <v>37518</v>
      </c>
      <c r="L546" s="41" t="s">
        <v>1376</v>
      </c>
      <c r="M546" s="41">
        <v>1980</v>
      </c>
    </row>
    <row r="547" spans="1:13" x14ac:dyDescent="0.25">
      <c r="A547" s="40" t="s">
        <v>1359</v>
      </c>
      <c r="B547" s="40" t="s">
        <v>12</v>
      </c>
      <c r="C547" s="40" t="s">
        <v>60</v>
      </c>
      <c r="D547" s="40" t="s">
        <v>1377</v>
      </c>
      <c r="E547" s="40" t="s">
        <v>15</v>
      </c>
      <c r="F547" s="40" t="s">
        <v>65</v>
      </c>
      <c r="G547" s="41">
        <v>1</v>
      </c>
      <c r="H547" s="41">
        <v>43000</v>
      </c>
      <c r="I547" s="41">
        <v>0</v>
      </c>
      <c r="J547" s="41">
        <v>0</v>
      </c>
      <c r="K547" s="41">
        <v>42253</v>
      </c>
      <c r="L547" s="41" t="s">
        <v>1378</v>
      </c>
      <c r="M547" s="41">
        <v>747</v>
      </c>
    </row>
    <row r="548" spans="1:13" x14ac:dyDescent="0.25">
      <c r="A548" s="40" t="s">
        <v>1359</v>
      </c>
      <c r="B548" s="40" t="s">
        <v>12</v>
      </c>
      <c r="C548" s="40" t="s">
        <v>60</v>
      </c>
      <c r="D548" s="40" t="s">
        <v>1379</v>
      </c>
      <c r="E548" s="40" t="s">
        <v>15</v>
      </c>
      <c r="F548" s="40" t="s">
        <v>62</v>
      </c>
      <c r="G548" s="41">
        <v>1</v>
      </c>
      <c r="H548" s="41">
        <v>16000</v>
      </c>
      <c r="I548" s="41">
        <v>0</v>
      </c>
      <c r="J548" s="41">
        <v>0</v>
      </c>
      <c r="K548" s="41">
        <v>15847</v>
      </c>
      <c r="L548" s="41" t="s">
        <v>1380</v>
      </c>
      <c r="M548" s="41">
        <v>153</v>
      </c>
    </row>
    <row r="549" spans="1:13" x14ac:dyDescent="0.25">
      <c r="A549" s="40" t="s">
        <v>1359</v>
      </c>
      <c r="B549" s="40" t="s">
        <v>12</v>
      </c>
      <c r="C549" s="40" t="s">
        <v>60</v>
      </c>
      <c r="D549" s="40" t="s">
        <v>1381</v>
      </c>
      <c r="E549" s="40" t="s">
        <v>15</v>
      </c>
      <c r="F549" s="40" t="s">
        <v>1382</v>
      </c>
      <c r="G549" s="41">
        <v>1</v>
      </c>
      <c r="H549" s="41">
        <v>42000</v>
      </c>
      <c r="I549" s="41">
        <v>0</v>
      </c>
      <c r="J549" s="41">
        <v>0</v>
      </c>
      <c r="K549" s="41">
        <v>42253</v>
      </c>
      <c r="L549" s="41" t="s">
        <v>1383</v>
      </c>
      <c r="M549" s="41">
        <v>-253</v>
      </c>
    </row>
    <row r="550" spans="1:13" x14ac:dyDescent="0.25">
      <c r="A550" s="40" t="s">
        <v>1359</v>
      </c>
      <c r="B550" s="40" t="s">
        <v>12</v>
      </c>
      <c r="C550" s="40" t="s">
        <v>60</v>
      </c>
      <c r="D550" s="40" t="s">
        <v>1384</v>
      </c>
      <c r="E550" s="40" t="s">
        <v>95</v>
      </c>
      <c r="F550" s="40" t="s">
        <v>856</v>
      </c>
      <c r="G550" s="41">
        <v>1</v>
      </c>
      <c r="H550" s="41">
        <v>19300</v>
      </c>
      <c r="I550" s="41">
        <v>0</v>
      </c>
      <c r="J550" s="41">
        <v>0</v>
      </c>
      <c r="K550" s="41">
        <v>19370</v>
      </c>
      <c r="L550" s="41" t="s">
        <v>1385</v>
      </c>
      <c r="M550" s="41">
        <v>-70</v>
      </c>
    </row>
    <row r="551" spans="1:13" x14ac:dyDescent="0.25">
      <c r="A551" s="40" t="s">
        <v>1359</v>
      </c>
      <c r="B551" s="40" t="s">
        <v>12</v>
      </c>
      <c r="C551" s="40" t="s">
        <v>60</v>
      </c>
      <c r="D551" s="40" t="s">
        <v>1386</v>
      </c>
      <c r="E551" s="40" t="s">
        <v>95</v>
      </c>
      <c r="F551" s="40" t="s">
        <v>1387</v>
      </c>
      <c r="G551" s="41">
        <v>1</v>
      </c>
      <c r="H551" s="41">
        <v>59999</v>
      </c>
      <c r="I551" s="41">
        <v>0</v>
      </c>
      <c r="J551" s="41">
        <v>0</v>
      </c>
      <c r="K551" s="41">
        <v>57854</v>
      </c>
      <c r="L551" s="41" t="s">
        <v>1388</v>
      </c>
      <c r="M551" s="41">
        <v>2145</v>
      </c>
    </row>
    <row r="552" spans="1:13" x14ac:dyDescent="0.25">
      <c r="A552" s="40" t="s">
        <v>1359</v>
      </c>
      <c r="B552" s="40" t="s">
        <v>12</v>
      </c>
      <c r="C552" s="40" t="s">
        <v>60</v>
      </c>
      <c r="D552" s="40" t="s">
        <v>1389</v>
      </c>
      <c r="E552" s="40" t="s">
        <v>135</v>
      </c>
      <c r="F552" s="40" t="s">
        <v>74</v>
      </c>
      <c r="G552" s="41">
        <v>1</v>
      </c>
      <c r="H552" s="41">
        <v>14000</v>
      </c>
      <c r="I552" s="41">
        <v>0</v>
      </c>
      <c r="J552" s="41">
        <v>0</v>
      </c>
      <c r="K552" s="41">
        <v>14010</v>
      </c>
      <c r="L552" s="41" t="s">
        <v>1390</v>
      </c>
      <c r="M552" s="41">
        <v>-10</v>
      </c>
    </row>
    <row r="553" spans="1:13" x14ac:dyDescent="0.25">
      <c r="A553" s="40" t="s">
        <v>1359</v>
      </c>
      <c r="B553" s="40" t="s">
        <v>12</v>
      </c>
      <c r="C553" s="40" t="s">
        <v>60</v>
      </c>
      <c r="D553" s="40" t="s">
        <v>1391</v>
      </c>
      <c r="E553" s="40" t="s">
        <v>135</v>
      </c>
      <c r="F553" s="40" t="s">
        <v>65</v>
      </c>
      <c r="G553" s="41">
        <v>1</v>
      </c>
      <c r="H553" s="41">
        <v>41999</v>
      </c>
      <c r="I553" s="41">
        <v>0</v>
      </c>
      <c r="J553" s="41">
        <v>0</v>
      </c>
      <c r="K553" s="41">
        <v>42253</v>
      </c>
      <c r="L553" s="41" t="s">
        <v>1392</v>
      </c>
      <c r="M553" s="41">
        <v>-254</v>
      </c>
    </row>
    <row r="554" spans="1:13" x14ac:dyDescent="0.25">
      <c r="A554" s="40" t="s">
        <v>1359</v>
      </c>
      <c r="B554" s="40" t="s">
        <v>12</v>
      </c>
      <c r="C554" s="40" t="s">
        <v>60</v>
      </c>
      <c r="D554" s="40" t="s">
        <v>1393</v>
      </c>
      <c r="E554" s="40" t="s">
        <v>105</v>
      </c>
      <c r="F554" s="40" t="s">
        <v>1216</v>
      </c>
      <c r="G554" s="41">
        <v>1</v>
      </c>
      <c r="H554" s="41">
        <v>15400</v>
      </c>
      <c r="I554" s="41">
        <v>0</v>
      </c>
      <c r="J554" s="41">
        <v>0</v>
      </c>
      <c r="K554" s="41">
        <v>15847</v>
      </c>
      <c r="L554" s="41" t="s">
        <v>1394</v>
      </c>
      <c r="M554" s="41">
        <v>-447</v>
      </c>
    </row>
    <row r="555" spans="1:13" x14ac:dyDescent="0.25">
      <c r="A555" s="40" t="s">
        <v>1359</v>
      </c>
      <c r="B555" s="40" t="s">
        <v>12</v>
      </c>
      <c r="C555" s="40" t="s">
        <v>60</v>
      </c>
      <c r="D555" s="40" t="s">
        <v>1395</v>
      </c>
      <c r="E555" s="40" t="s">
        <v>105</v>
      </c>
      <c r="F555" s="40" t="s">
        <v>304</v>
      </c>
      <c r="G555" s="41">
        <v>1</v>
      </c>
      <c r="H555" s="41">
        <v>15000</v>
      </c>
      <c r="I555" s="41">
        <v>0</v>
      </c>
      <c r="J555" s="41">
        <v>0</v>
      </c>
      <c r="K555" s="41">
        <v>14010</v>
      </c>
      <c r="L555" s="41" t="s">
        <v>1396</v>
      </c>
      <c r="M555" s="41">
        <v>990</v>
      </c>
    </row>
    <row r="556" spans="1:13" x14ac:dyDescent="0.25">
      <c r="A556" s="40" t="s">
        <v>1359</v>
      </c>
      <c r="B556" s="40" t="s">
        <v>12</v>
      </c>
      <c r="C556" s="40" t="s">
        <v>60</v>
      </c>
      <c r="D556" s="40" t="s">
        <v>1397</v>
      </c>
      <c r="E556" s="40" t="s">
        <v>105</v>
      </c>
      <c r="F556" s="40" t="s">
        <v>1398</v>
      </c>
      <c r="G556" s="41">
        <v>1</v>
      </c>
      <c r="H556" s="41">
        <v>45499</v>
      </c>
      <c r="I556" s="41">
        <v>0</v>
      </c>
      <c r="J556" s="41">
        <v>0</v>
      </c>
      <c r="K556" s="41">
        <v>45894</v>
      </c>
      <c r="L556" s="41" t="s">
        <v>1399</v>
      </c>
      <c r="M556" s="41">
        <v>-395</v>
      </c>
    </row>
    <row r="557" spans="1:13" x14ac:dyDescent="0.25">
      <c r="A557" s="40" t="s">
        <v>1359</v>
      </c>
      <c r="B557" s="40" t="s">
        <v>12</v>
      </c>
      <c r="C557" s="40" t="s">
        <v>60</v>
      </c>
      <c r="D557" s="40" t="s">
        <v>1400</v>
      </c>
      <c r="E557" s="40" t="s">
        <v>105</v>
      </c>
      <c r="F557" s="40" t="s">
        <v>80</v>
      </c>
      <c r="G557" s="41">
        <v>1</v>
      </c>
      <c r="H557" s="41">
        <v>23000</v>
      </c>
      <c r="I557" s="41">
        <v>0</v>
      </c>
      <c r="J557" s="41">
        <v>0</v>
      </c>
      <c r="K557" s="41">
        <v>23147</v>
      </c>
      <c r="L557" s="41" t="s">
        <v>1401</v>
      </c>
      <c r="M557" s="41">
        <v>-147</v>
      </c>
    </row>
    <row r="558" spans="1:13" x14ac:dyDescent="0.25">
      <c r="A558" s="40" t="s">
        <v>1359</v>
      </c>
      <c r="B558" s="40" t="s">
        <v>12</v>
      </c>
      <c r="C558" s="40" t="s">
        <v>60</v>
      </c>
      <c r="D558" s="40" t="s">
        <v>1402</v>
      </c>
      <c r="E558" s="40" t="s">
        <v>109</v>
      </c>
      <c r="F558" s="40" t="s">
        <v>62</v>
      </c>
      <c r="G558" s="41">
        <v>1</v>
      </c>
      <c r="H558" s="41">
        <v>16000</v>
      </c>
      <c r="I558" s="41">
        <v>0</v>
      </c>
      <c r="J558" s="41">
        <v>0</v>
      </c>
      <c r="K558" s="41">
        <v>15847</v>
      </c>
      <c r="L558" s="41" t="s">
        <v>1403</v>
      </c>
      <c r="M558" s="41">
        <v>153</v>
      </c>
    </row>
    <row r="559" spans="1:13" x14ac:dyDescent="0.25">
      <c r="A559" s="40" t="s">
        <v>1359</v>
      </c>
      <c r="B559" s="40" t="s">
        <v>12</v>
      </c>
      <c r="C559" s="40" t="s">
        <v>60</v>
      </c>
      <c r="D559" s="40" t="s">
        <v>1404</v>
      </c>
      <c r="E559" s="40" t="s">
        <v>109</v>
      </c>
      <c r="F559" s="40" t="s">
        <v>1405</v>
      </c>
      <c r="G559" s="41">
        <v>1</v>
      </c>
      <c r="H559" s="41">
        <v>58000</v>
      </c>
      <c r="I559" s="41">
        <v>0</v>
      </c>
      <c r="J559" s="41">
        <v>0</v>
      </c>
      <c r="K559" s="41">
        <v>56970</v>
      </c>
      <c r="L559" s="41" t="s">
        <v>1406</v>
      </c>
      <c r="M559" s="41">
        <v>1030</v>
      </c>
    </row>
    <row r="560" spans="1:13" x14ac:dyDescent="0.25">
      <c r="A560" s="40" t="s">
        <v>1359</v>
      </c>
      <c r="B560" s="40" t="s">
        <v>12</v>
      </c>
      <c r="C560" s="40" t="s">
        <v>60</v>
      </c>
      <c r="D560" s="40" t="s">
        <v>1407</v>
      </c>
      <c r="E560" s="40" t="s">
        <v>162</v>
      </c>
      <c r="F560" s="40" t="s">
        <v>1408</v>
      </c>
      <c r="G560" s="41">
        <v>1</v>
      </c>
      <c r="H560" s="41">
        <v>72000</v>
      </c>
      <c r="I560" s="41">
        <v>0</v>
      </c>
      <c r="J560" s="41">
        <v>0</v>
      </c>
      <c r="K560" s="41">
        <v>69202</v>
      </c>
      <c r="L560" s="41" t="s">
        <v>1409</v>
      </c>
      <c r="M560" s="41">
        <v>2798</v>
      </c>
    </row>
    <row r="561" spans="1:13" x14ac:dyDescent="0.25">
      <c r="A561" s="40" t="s">
        <v>1359</v>
      </c>
      <c r="B561" s="40" t="s">
        <v>12</v>
      </c>
      <c r="C561" s="40" t="s">
        <v>60</v>
      </c>
      <c r="D561" s="40" t="s">
        <v>1410</v>
      </c>
      <c r="E561" s="40" t="s">
        <v>30</v>
      </c>
      <c r="F561" s="40" t="s">
        <v>1382</v>
      </c>
      <c r="G561" s="41">
        <v>1</v>
      </c>
      <c r="H561" s="41">
        <v>41999</v>
      </c>
      <c r="I561" s="41">
        <v>0</v>
      </c>
      <c r="J561" s="41">
        <v>0</v>
      </c>
      <c r="K561" s="41">
        <v>42253</v>
      </c>
      <c r="L561" s="41" t="s">
        <v>1411</v>
      </c>
      <c r="M561" s="41">
        <v>-254</v>
      </c>
    </row>
    <row r="562" spans="1:13" x14ac:dyDescent="0.25">
      <c r="A562" s="40" t="s">
        <v>1359</v>
      </c>
      <c r="B562" s="40" t="s">
        <v>12</v>
      </c>
      <c r="C562" s="40" t="s">
        <v>60</v>
      </c>
      <c r="D562" s="40" t="s">
        <v>1412</v>
      </c>
      <c r="E562" s="40" t="s">
        <v>30</v>
      </c>
      <c r="F562" s="40" t="s">
        <v>314</v>
      </c>
      <c r="G562" s="41">
        <v>1</v>
      </c>
      <c r="H562" s="41">
        <v>37599</v>
      </c>
      <c r="I562" s="41">
        <v>0</v>
      </c>
      <c r="J562" s="41">
        <v>0</v>
      </c>
      <c r="K562" s="41">
        <v>37663</v>
      </c>
      <c r="L562" s="41" t="s">
        <v>1413</v>
      </c>
      <c r="M562" s="41">
        <v>-64</v>
      </c>
    </row>
    <row r="563" spans="1:13" x14ac:dyDescent="0.25">
      <c r="A563" s="40" t="s">
        <v>1359</v>
      </c>
      <c r="B563" s="40" t="s">
        <v>12</v>
      </c>
      <c r="C563" s="40" t="s">
        <v>60</v>
      </c>
      <c r="D563" s="40" t="s">
        <v>1414</v>
      </c>
      <c r="E563" s="40" t="s">
        <v>34</v>
      </c>
      <c r="F563" s="40" t="s">
        <v>868</v>
      </c>
      <c r="G563" s="41">
        <v>1</v>
      </c>
      <c r="H563" s="41">
        <v>35799</v>
      </c>
      <c r="I563" s="41">
        <v>0</v>
      </c>
      <c r="J563" s="41">
        <v>0</v>
      </c>
      <c r="K563" s="41">
        <v>35123</v>
      </c>
      <c r="L563" s="41" t="s">
        <v>1415</v>
      </c>
      <c r="M563" s="41">
        <v>676</v>
      </c>
    </row>
    <row r="564" spans="1:13" x14ac:dyDescent="0.25">
      <c r="A564" s="40" t="s">
        <v>1359</v>
      </c>
      <c r="B564" s="40" t="s">
        <v>12</v>
      </c>
      <c r="C564" s="40" t="s">
        <v>60</v>
      </c>
      <c r="D564" s="40" t="s">
        <v>1416</v>
      </c>
      <c r="E564" s="40" t="s">
        <v>34</v>
      </c>
      <c r="F564" s="40" t="s">
        <v>267</v>
      </c>
      <c r="G564" s="41">
        <v>1</v>
      </c>
      <c r="H564" s="41">
        <v>23000</v>
      </c>
      <c r="I564" s="41">
        <v>0</v>
      </c>
      <c r="J564" s="41">
        <v>0</v>
      </c>
      <c r="K564" s="41">
        <v>21563</v>
      </c>
      <c r="L564" s="41" t="s">
        <v>1417</v>
      </c>
      <c r="M564" s="41">
        <v>1437</v>
      </c>
    </row>
    <row r="565" spans="1:13" x14ac:dyDescent="0.25">
      <c r="A565" s="40" t="s">
        <v>1359</v>
      </c>
      <c r="B565" s="40" t="s">
        <v>12</v>
      </c>
      <c r="C565" s="40" t="s">
        <v>60</v>
      </c>
      <c r="D565" s="40" t="s">
        <v>1418</v>
      </c>
      <c r="E565" s="40" t="s">
        <v>34</v>
      </c>
      <c r="F565" s="40" t="s">
        <v>65</v>
      </c>
      <c r="G565" s="41">
        <v>1</v>
      </c>
      <c r="H565" s="41">
        <v>40500</v>
      </c>
      <c r="I565" s="41">
        <v>0</v>
      </c>
      <c r="J565" s="41">
        <v>0</v>
      </c>
      <c r="K565" s="41">
        <v>42253</v>
      </c>
      <c r="L565" s="41" t="s">
        <v>1419</v>
      </c>
      <c r="M565" s="41">
        <v>-1753</v>
      </c>
    </row>
    <row r="566" spans="1:13" x14ac:dyDescent="0.25">
      <c r="A566" s="40" t="s">
        <v>1359</v>
      </c>
      <c r="B566" s="40" t="s">
        <v>12</v>
      </c>
      <c r="C566" s="40" t="s">
        <v>60</v>
      </c>
      <c r="D566" s="40" t="s">
        <v>1420</v>
      </c>
      <c r="E566" s="40" t="s">
        <v>41</v>
      </c>
      <c r="F566" s="40" t="s">
        <v>314</v>
      </c>
      <c r="G566" s="41">
        <v>1</v>
      </c>
      <c r="H566" s="41">
        <v>38499</v>
      </c>
      <c r="I566" s="41">
        <v>0</v>
      </c>
      <c r="J566" s="41">
        <v>0</v>
      </c>
      <c r="K566" s="41">
        <v>37663</v>
      </c>
      <c r="L566" s="41" t="s">
        <v>1421</v>
      </c>
      <c r="M566" s="41">
        <v>836</v>
      </c>
    </row>
    <row r="567" spans="1:13" x14ac:dyDescent="0.25">
      <c r="A567" s="40" t="s">
        <v>1359</v>
      </c>
      <c r="B567" s="40" t="s">
        <v>12</v>
      </c>
      <c r="C567" s="40" t="s">
        <v>60</v>
      </c>
      <c r="D567" s="40" t="s">
        <v>1422</v>
      </c>
      <c r="E567" s="40" t="s">
        <v>41</v>
      </c>
      <c r="F567" s="40" t="s">
        <v>294</v>
      </c>
      <c r="G567" s="41">
        <v>1</v>
      </c>
      <c r="H567" s="41">
        <v>24500</v>
      </c>
      <c r="I567" s="41">
        <v>0</v>
      </c>
      <c r="J567" s="41">
        <v>0</v>
      </c>
      <c r="K567" s="41">
        <v>23990</v>
      </c>
      <c r="L567" s="41" t="s">
        <v>1423</v>
      </c>
      <c r="M567" s="41">
        <v>510</v>
      </c>
    </row>
    <row r="568" spans="1:13" x14ac:dyDescent="0.25">
      <c r="A568" s="40" t="s">
        <v>1359</v>
      </c>
      <c r="B568" s="40" t="s">
        <v>12</v>
      </c>
      <c r="C568" s="40" t="s">
        <v>60</v>
      </c>
      <c r="D568" s="40" t="s">
        <v>1424</v>
      </c>
      <c r="E568" s="40" t="s">
        <v>45</v>
      </c>
      <c r="F568" s="40" t="s">
        <v>1216</v>
      </c>
      <c r="G568" s="41">
        <v>1</v>
      </c>
      <c r="H568" s="41">
        <v>16000</v>
      </c>
      <c r="I568" s="41">
        <v>0</v>
      </c>
      <c r="J568" s="41">
        <v>0</v>
      </c>
      <c r="K568" s="41">
        <v>15847</v>
      </c>
      <c r="L568" s="41" t="s">
        <v>1425</v>
      </c>
      <c r="M568" s="41">
        <v>153</v>
      </c>
    </row>
    <row r="569" spans="1:13" x14ac:dyDescent="0.25">
      <c r="A569" s="40" t="s">
        <v>1426</v>
      </c>
      <c r="B569" s="40" t="s">
        <v>12</v>
      </c>
      <c r="C569" s="40" t="s">
        <v>28</v>
      </c>
      <c r="D569" s="40" t="s">
        <v>1427</v>
      </c>
      <c r="E569" s="40" t="s">
        <v>162</v>
      </c>
      <c r="F569" s="40" t="s">
        <v>642</v>
      </c>
      <c r="G569" s="41">
        <v>1</v>
      </c>
      <c r="H569" s="41">
        <v>18400</v>
      </c>
      <c r="I569" s="41">
        <v>0</v>
      </c>
      <c r="J569" s="41">
        <v>0</v>
      </c>
      <c r="K569" s="41">
        <v>18454</v>
      </c>
      <c r="L569" s="41" t="s">
        <v>1428</v>
      </c>
      <c r="M569" s="41">
        <v>-54</v>
      </c>
    </row>
    <row r="570" spans="1:13" x14ac:dyDescent="0.25">
      <c r="A570" s="40" t="s">
        <v>1426</v>
      </c>
      <c r="B570" s="40" t="s">
        <v>12</v>
      </c>
      <c r="C570" s="40" t="s">
        <v>22</v>
      </c>
      <c r="D570" s="40" t="s">
        <v>1429</v>
      </c>
      <c r="E570" s="40" t="s">
        <v>24</v>
      </c>
      <c r="F570" s="40" t="s">
        <v>1430</v>
      </c>
      <c r="G570" s="41">
        <v>1</v>
      </c>
      <c r="H570" s="41">
        <v>50500</v>
      </c>
      <c r="I570" s="41">
        <v>0</v>
      </c>
      <c r="J570" s="41">
        <v>0</v>
      </c>
      <c r="K570" s="41">
        <v>48915</v>
      </c>
      <c r="L570" s="41" t="s">
        <v>1431</v>
      </c>
      <c r="M570" s="41">
        <v>1585</v>
      </c>
    </row>
    <row r="571" spans="1:13" x14ac:dyDescent="0.25">
      <c r="A571" s="40" t="s">
        <v>1426</v>
      </c>
      <c r="B571" s="40" t="s">
        <v>12</v>
      </c>
      <c r="C571" s="40" t="s">
        <v>50</v>
      </c>
      <c r="D571" s="40" t="s">
        <v>1432</v>
      </c>
      <c r="E571" s="40" t="s">
        <v>15</v>
      </c>
      <c r="F571" s="40" t="s">
        <v>795</v>
      </c>
      <c r="G571" s="41">
        <v>1</v>
      </c>
      <c r="H571" s="41">
        <v>34500</v>
      </c>
      <c r="I571" s="41">
        <v>0</v>
      </c>
      <c r="J571" s="41">
        <v>0</v>
      </c>
      <c r="K571" s="41">
        <v>34658</v>
      </c>
      <c r="L571" s="41" t="s">
        <v>1433</v>
      </c>
      <c r="M571" s="41">
        <v>-158</v>
      </c>
    </row>
    <row r="572" spans="1:13" x14ac:dyDescent="0.25">
      <c r="A572" s="40" t="s">
        <v>1426</v>
      </c>
      <c r="B572" s="40" t="s">
        <v>12</v>
      </c>
      <c r="C572" s="40" t="s">
        <v>50</v>
      </c>
      <c r="D572" s="40" t="s">
        <v>1434</v>
      </c>
      <c r="E572" s="40" t="s">
        <v>15</v>
      </c>
      <c r="F572" s="40" t="s">
        <v>1435</v>
      </c>
      <c r="G572" s="41">
        <v>1</v>
      </c>
      <c r="H572" s="41">
        <v>43000</v>
      </c>
      <c r="I572" s="41">
        <v>0</v>
      </c>
      <c r="J572" s="41">
        <v>0</v>
      </c>
      <c r="K572" s="41">
        <v>41955</v>
      </c>
      <c r="L572" s="41" t="s">
        <v>1436</v>
      </c>
      <c r="M572" s="41">
        <v>1045</v>
      </c>
    </row>
    <row r="573" spans="1:13" x14ac:dyDescent="0.25">
      <c r="A573" s="40" t="s">
        <v>1426</v>
      </c>
      <c r="B573" s="40" t="s">
        <v>12</v>
      </c>
      <c r="C573" s="40" t="s">
        <v>50</v>
      </c>
      <c r="D573" s="40" t="s">
        <v>1437</v>
      </c>
      <c r="E573" s="40" t="s">
        <v>105</v>
      </c>
      <c r="F573" s="40" t="s">
        <v>991</v>
      </c>
      <c r="G573" s="41">
        <v>1</v>
      </c>
      <c r="H573" s="41">
        <v>31500</v>
      </c>
      <c r="I573" s="41">
        <v>0</v>
      </c>
      <c r="J573" s="41">
        <v>0</v>
      </c>
      <c r="K573" s="41">
        <v>31010</v>
      </c>
      <c r="L573" s="41" t="s">
        <v>1438</v>
      </c>
      <c r="M573" s="41">
        <v>490</v>
      </c>
    </row>
    <row r="574" spans="1:13" x14ac:dyDescent="0.25">
      <c r="A574" s="40" t="s">
        <v>1426</v>
      </c>
      <c r="B574" s="40" t="s">
        <v>12</v>
      </c>
      <c r="C574" s="40" t="s">
        <v>50</v>
      </c>
      <c r="D574" s="40" t="s">
        <v>1439</v>
      </c>
      <c r="E574" s="40" t="s">
        <v>105</v>
      </c>
      <c r="F574" s="40" t="s">
        <v>1440</v>
      </c>
      <c r="G574" s="41">
        <v>1</v>
      </c>
      <c r="H574" s="41">
        <v>33999</v>
      </c>
      <c r="I574" s="41">
        <v>0</v>
      </c>
      <c r="J574" s="41">
        <v>0</v>
      </c>
      <c r="K574" s="41">
        <v>33746</v>
      </c>
      <c r="L574" s="41" t="s">
        <v>1441</v>
      </c>
      <c r="M574" s="41">
        <v>253</v>
      </c>
    </row>
    <row r="575" spans="1:13" x14ac:dyDescent="0.25">
      <c r="A575" s="40" t="s">
        <v>1426</v>
      </c>
      <c r="B575" s="40" t="s">
        <v>12</v>
      </c>
      <c r="C575" s="40" t="s">
        <v>50</v>
      </c>
      <c r="D575" s="40" t="s">
        <v>1442</v>
      </c>
      <c r="E575" s="40" t="s">
        <v>105</v>
      </c>
      <c r="F575" s="40" t="s">
        <v>52</v>
      </c>
      <c r="G575" s="41">
        <v>1</v>
      </c>
      <c r="H575" s="41">
        <v>13500</v>
      </c>
      <c r="I575" s="41">
        <v>0</v>
      </c>
      <c r="J575" s="41">
        <v>0</v>
      </c>
      <c r="K575" s="41">
        <v>13582</v>
      </c>
      <c r="L575" s="41" t="s">
        <v>1443</v>
      </c>
      <c r="M575" s="41">
        <v>-82</v>
      </c>
    </row>
    <row r="576" spans="1:13" x14ac:dyDescent="0.25">
      <c r="A576" s="40" t="s">
        <v>1426</v>
      </c>
      <c r="B576" s="40" t="s">
        <v>12</v>
      </c>
      <c r="C576" s="40" t="s">
        <v>50</v>
      </c>
      <c r="D576" s="40" t="s">
        <v>1444</v>
      </c>
      <c r="E576" s="40" t="s">
        <v>105</v>
      </c>
      <c r="F576" s="40" t="s">
        <v>991</v>
      </c>
      <c r="G576" s="41">
        <v>1</v>
      </c>
      <c r="H576" s="41">
        <v>31000</v>
      </c>
      <c r="I576" s="41">
        <v>0</v>
      </c>
      <c r="J576" s="41">
        <v>0</v>
      </c>
      <c r="K576" s="41">
        <v>31010</v>
      </c>
      <c r="L576" s="41" t="s">
        <v>1445</v>
      </c>
      <c r="M576" s="41">
        <v>-10</v>
      </c>
    </row>
    <row r="577" spans="1:13" x14ac:dyDescent="0.25">
      <c r="A577" s="40" t="s">
        <v>1426</v>
      </c>
      <c r="B577" s="40" t="s">
        <v>12</v>
      </c>
      <c r="C577" s="40" t="s">
        <v>50</v>
      </c>
      <c r="D577" s="40" t="s">
        <v>1446</v>
      </c>
      <c r="E577" s="40" t="s">
        <v>109</v>
      </c>
      <c r="F577" s="40" t="s">
        <v>991</v>
      </c>
      <c r="G577" s="41">
        <v>1</v>
      </c>
      <c r="H577" s="41">
        <v>31500</v>
      </c>
      <c r="I577" s="41">
        <v>0</v>
      </c>
      <c r="J577" s="41">
        <v>0</v>
      </c>
      <c r="K577" s="41">
        <v>31010</v>
      </c>
      <c r="L577" s="41" t="s">
        <v>1447</v>
      </c>
      <c r="M577" s="41">
        <v>490</v>
      </c>
    </row>
    <row r="578" spans="1:13" x14ac:dyDescent="0.25">
      <c r="A578" s="40" t="s">
        <v>1426</v>
      </c>
      <c r="B578" s="40" t="s">
        <v>12</v>
      </c>
      <c r="C578" s="40" t="s">
        <v>50</v>
      </c>
      <c r="D578" s="40" t="s">
        <v>1448</v>
      </c>
      <c r="E578" s="40" t="s">
        <v>109</v>
      </c>
      <c r="F578" s="40" t="s">
        <v>813</v>
      </c>
      <c r="G578" s="41">
        <v>1</v>
      </c>
      <c r="H578" s="41">
        <v>15200</v>
      </c>
      <c r="I578" s="41">
        <v>0</v>
      </c>
      <c r="J578" s="41">
        <v>0</v>
      </c>
      <c r="K578" s="41">
        <v>14175</v>
      </c>
      <c r="L578" s="41" t="s">
        <v>1449</v>
      </c>
      <c r="M578" s="41">
        <v>1025</v>
      </c>
    </row>
    <row r="579" spans="1:13" x14ac:dyDescent="0.25">
      <c r="A579" s="40" t="s">
        <v>1426</v>
      </c>
      <c r="B579" s="40" t="s">
        <v>12</v>
      </c>
      <c r="C579" s="40" t="s">
        <v>50</v>
      </c>
      <c r="D579" s="40" t="s">
        <v>1450</v>
      </c>
      <c r="E579" s="40" t="s">
        <v>109</v>
      </c>
      <c r="F579" s="40" t="s">
        <v>991</v>
      </c>
      <c r="G579" s="41">
        <v>1</v>
      </c>
      <c r="H579" s="41">
        <v>31500</v>
      </c>
      <c r="I579" s="41">
        <v>0</v>
      </c>
      <c r="J579" s="41">
        <v>0</v>
      </c>
      <c r="K579" s="41">
        <v>31010</v>
      </c>
      <c r="L579" s="41" t="s">
        <v>1451</v>
      </c>
      <c r="M579" s="41">
        <v>490</v>
      </c>
    </row>
    <row r="580" spans="1:13" x14ac:dyDescent="0.25">
      <c r="A580" s="40" t="s">
        <v>1426</v>
      </c>
      <c r="B580" s="40" t="s">
        <v>12</v>
      </c>
      <c r="C580" s="40" t="s">
        <v>50</v>
      </c>
      <c r="D580" s="40" t="s">
        <v>1452</v>
      </c>
      <c r="E580" s="40" t="s">
        <v>109</v>
      </c>
      <c r="F580" s="40" t="s">
        <v>254</v>
      </c>
      <c r="G580" s="41">
        <v>1</v>
      </c>
      <c r="H580" s="41">
        <v>29500</v>
      </c>
      <c r="I580" s="41">
        <v>0</v>
      </c>
      <c r="J580" s="41">
        <v>0</v>
      </c>
      <c r="K580" s="41">
        <v>29186</v>
      </c>
      <c r="L580" s="41" t="s">
        <v>1453</v>
      </c>
      <c r="M580" s="41">
        <v>314</v>
      </c>
    </row>
    <row r="581" spans="1:13" x14ac:dyDescent="0.25">
      <c r="A581" s="40" t="s">
        <v>1426</v>
      </c>
      <c r="B581" s="40" t="s">
        <v>12</v>
      </c>
      <c r="C581" s="40" t="s">
        <v>50</v>
      </c>
      <c r="D581" s="40" t="s">
        <v>1454</v>
      </c>
      <c r="E581" s="40" t="s">
        <v>109</v>
      </c>
      <c r="F581" s="40" t="s">
        <v>991</v>
      </c>
      <c r="G581" s="41">
        <v>1</v>
      </c>
      <c r="H581" s="41">
        <v>31000</v>
      </c>
      <c r="I581" s="41">
        <v>0</v>
      </c>
      <c r="J581" s="41">
        <v>0</v>
      </c>
      <c r="K581" s="41">
        <v>31010</v>
      </c>
      <c r="L581" s="41" t="s">
        <v>1455</v>
      </c>
      <c r="M581" s="41">
        <v>-10</v>
      </c>
    </row>
    <row r="582" spans="1:13" x14ac:dyDescent="0.25">
      <c r="A582" s="40" t="s">
        <v>1426</v>
      </c>
      <c r="B582" s="40" t="s">
        <v>12</v>
      </c>
      <c r="C582" s="40" t="s">
        <v>50</v>
      </c>
      <c r="D582" s="40" t="s">
        <v>1456</v>
      </c>
      <c r="E582" s="40" t="s">
        <v>162</v>
      </c>
      <c r="F582" s="40" t="s">
        <v>254</v>
      </c>
      <c r="G582" s="41">
        <v>1</v>
      </c>
      <c r="H582" s="41">
        <v>28500</v>
      </c>
      <c r="I582" s="41">
        <v>0</v>
      </c>
      <c r="J582" s="41">
        <v>0</v>
      </c>
      <c r="K582" s="41">
        <v>29186</v>
      </c>
      <c r="L582" s="41" t="s">
        <v>1457</v>
      </c>
      <c r="M582" s="41">
        <v>-686</v>
      </c>
    </row>
    <row r="583" spans="1:13" x14ac:dyDescent="0.25">
      <c r="A583" s="40" t="s">
        <v>1426</v>
      </c>
      <c r="B583" s="40" t="s">
        <v>12</v>
      </c>
      <c r="C583" s="40" t="s">
        <v>50</v>
      </c>
      <c r="D583" s="40" t="s">
        <v>1458</v>
      </c>
      <c r="E583" s="40" t="s">
        <v>162</v>
      </c>
      <c r="F583" s="40" t="s">
        <v>810</v>
      </c>
      <c r="G583" s="41">
        <v>1</v>
      </c>
      <c r="H583" s="41">
        <v>31000</v>
      </c>
      <c r="I583" s="41">
        <v>0</v>
      </c>
      <c r="J583" s="41">
        <v>0</v>
      </c>
      <c r="K583" s="41">
        <v>31010</v>
      </c>
      <c r="L583" s="41" t="s">
        <v>1459</v>
      </c>
      <c r="M583" s="41">
        <v>-10</v>
      </c>
    </row>
    <row r="584" spans="1:13" x14ac:dyDescent="0.25">
      <c r="A584" s="40" t="s">
        <v>1426</v>
      </c>
      <c r="B584" s="40" t="s">
        <v>12</v>
      </c>
      <c r="C584" s="40" t="s">
        <v>50</v>
      </c>
      <c r="D584" s="40" t="s">
        <v>1460</v>
      </c>
      <c r="E584" s="40" t="s">
        <v>162</v>
      </c>
      <c r="F584" s="40" t="s">
        <v>254</v>
      </c>
      <c r="G584" s="41">
        <v>1</v>
      </c>
      <c r="H584" s="41">
        <v>29000</v>
      </c>
      <c r="I584" s="41">
        <v>0</v>
      </c>
      <c r="J584" s="41">
        <v>0</v>
      </c>
      <c r="K584" s="41">
        <v>29186</v>
      </c>
      <c r="L584" s="41" t="s">
        <v>1461</v>
      </c>
      <c r="M584" s="41">
        <v>-186</v>
      </c>
    </row>
    <row r="585" spans="1:13" x14ac:dyDescent="0.25">
      <c r="A585" s="40" t="s">
        <v>1426</v>
      </c>
      <c r="B585" s="40" t="s">
        <v>12</v>
      </c>
      <c r="C585" s="40" t="s">
        <v>50</v>
      </c>
      <c r="D585" s="40" t="s">
        <v>1462</v>
      </c>
      <c r="E585" s="40" t="s">
        <v>162</v>
      </c>
      <c r="F585" s="40" t="s">
        <v>991</v>
      </c>
      <c r="G585" s="41">
        <v>1</v>
      </c>
      <c r="H585" s="41">
        <v>31000</v>
      </c>
      <c r="I585" s="41">
        <v>0</v>
      </c>
      <c r="J585" s="41">
        <v>0</v>
      </c>
      <c r="K585" s="41">
        <v>31010</v>
      </c>
      <c r="L585" s="41" t="s">
        <v>1463</v>
      </c>
      <c r="M585" s="41">
        <v>-10</v>
      </c>
    </row>
    <row r="586" spans="1:13" x14ac:dyDescent="0.25">
      <c r="A586" s="40" t="s">
        <v>1426</v>
      </c>
      <c r="B586" s="40" t="s">
        <v>12</v>
      </c>
      <c r="C586" s="40" t="s">
        <v>50</v>
      </c>
      <c r="D586" s="40" t="s">
        <v>1464</v>
      </c>
      <c r="E586" s="40" t="s">
        <v>162</v>
      </c>
      <c r="F586" s="40" t="s">
        <v>1440</v>
      </c>
      <c r="G586" s="41">
        <v>1</v>
      </c>
      <c r="H586" s="41">
        <v>33500</v>
      </c>
      <c r="I586" s="41">
        <v>0</v>
      </c>
      <c r="J586" s="41">
        <v>0</v>
      </c>
      <c r="K586" s="41">
        <v>33746</v>
      </c>
      <c r="L586" s="41" t="s">
        <v>1465</v>
      </c>
      <c r="M586" s="41">
        <v>-246</v>
      </c>
    </row>
    <row r="587" spans="1:13" x14ac:dyDescent="0.25">
      <c r="A587" s="40" t="s">
        <v>1426</v>
      </c>
      <c r="B587" s="40" t="s">
        <v>12</v>
      </c>
      <c r="C587" s="40" t="s">
        <v>50</v>
      </c>
      <c r="D587" s="40" t="s">
        <v>1466</v>
      </c>
      <c r="E587" s="40" t="s">
        <v>30</v>
      </c>
      <c r="F587" s="40" t="s">
        <v>1467</v>
      </c>
      <c r="G587" s="41">
        <v>1</v>
      </c>
      <c r="H587" s="41">
        <v>28699</v>
      </c>
      <c r="I587" s="41">
        <v>0</v>
      </c>
      <c r="J587" s="41">
        <v>0</v>
      </c>
      <c r="K587" s="41">
        <v>29186</v>
      </c>
      <c r="L587" s="41" t="s">
        <v>1468</v>
      </c>
      <c r="M587" s="41">
        <v>-487</v>
      </c>
    </row>
    <row r="588" spans="1:13" x14ac:dyDescent="0.25">
      <c r="A588" s="40" t="s">
        <v>1426</v>
      </c>
      <c r="B588" s="40" t="s">
        <v>12</v>
      </c>
      <c r="C588" s="40" t="s">
        <v>50</v>
      </c>
      <c r="D588" s="40" t="s">
        <v>1469</v>
      </c>
      <c r="E588" s="40" t="s">
        <v>30</v>
      </c>
      <c r="F588" s="40" t="s">
        <v>991</v>
      </c>
      <c r="G588" s="41">
        <v>1</v>
      </c>
      <c r="H588" s="41">
        <v>30499</v>
      </c>
      <c r="I588" s="41">
        <v>0</v>
      </c>
      <c r="J588" s="41">
        <v>0</v>
      </c>
      <c r="K588" s="41">
        <v>31010</v>
      </c>
      <c r="L588" s="41" t="s">
        <v>1470</v>
      </c>
      <c r="M588" s="41">
        <v>-511</v>
      </c>
    </row>
    <row r="589" spans="1:13" x14ac:dyDescent="0.25">
      <c r="A589" s="40" t="s">
        <v>1426</v>
      </c>
      <c r="B589" s="40" t="s">
        <v>12</v>
      </c>
      <c r="C589" s="40" t="s">
        <v>50</v>
      </c>
      <c r="D589" s="40" t="s">
        <v>1471</v>
      </c>
      <c r="E589" s="40" t="s">
        <v>30</v>
      </c>
      <c r="F589" s="40" t="s">
        <v>1435</v>
      </c>
      <c r="G589" s="41">
        <v>1</v>
      </c>
      <c r="H589" s="41">
        <v>42500</v>
      </c>
      <c r="I589" s="41">
        <v>0</v>
      </c>
      <c r="J589" s="41">
        <v>0</v>
      </c>
      <c r="K589" s="41">
        <v>41955</v>
      </c>
      <c r="L589" s="41" t="s">
        <v>1472</v>
      </c>
      <c r="M589" s="41">
        <v>545</v>
      </c>
    </row>
    <row r="590" spans="1:13" x14ac:dyDescent="0.25">
      <c r="A590" s="40" t="s">
        <v>1426</v>
      </c>
      <c r="B590" s="40" t="s">
        <v>12</v>
      </c>
      <c r="C590" s="40" t="s">
        <v>50</v>
      </c>
      <c r="D590" s="40" t="s">
        <v>1473</v>
      </c>
      <c r="E590" s="40" t="s">
        <v>34</v>
      </c>
      <c r="F590" s="40" t="s">
        <v>991</v>
      </c>
      <c r="G590" s="41">
        <v>1</v>
      </c>
      <c r="H590" s="41">
        <v>31000</v>
      </c>
      <c r="I590" s="41">
        <v>0</v>
      </c>
      <c r="J590" s="41">
        <v>0</v>
      </c>
      <c r="K590" s="41">
        <v>31010</v>
      </c>
      <c r="L590" s="41" t="s">
        <v>1474</v>
      </c>
      <c r="M590" s="41">
        <v>-10</v>
      </c>
    </row>
    <row r="591" spans="1:13" x14ac:dyDescent="0.25">
      <c r="A591" s="40" t="s">
        <v>1426</v>
      </c>
      <c r="B591" s="40" t="s">
        <v>12</v>
      </c>
      <c r="C591" s="40" t="s">
        <v>50</v>
      </c>
      <c r="D591" s="40" t="s">
        <v>1475</v>
      </c>
      <c r="E591" s="40" t="s">
        <v>34</v>
      </c>
      <c r="F591" s="40" t="s">
        <v>1467</v>
      </c>
      <c r="G591" s="41">
        <v>1</v>
      </c>
      <c r="H591" s="41">
        <v>28595</v>
      </c>
      <c r="I591" s="41">
        <v>0</v>
      </c>
      <c r="J591" s="41">
        <v>0</v>
      </c>
      <c r="K591" s="41">
        <v>29186</v>
      </c>
      <c r="L591" s="41" t="s">
        <v>1476</v>
      </c>
      <c r="M591" s="41">
        <v>-591</v>
      </c>
    </row>
    <row r="592" spans="1:13" x14ac:dyDescent="0.25">
      <c r="A592" s="40" t="s">
        <v>1426</v>
      </c>
      <c r="B592" s="40" t="s">
        <v>12</v>
      </c>
      <c r="C592" s="40" t="s">
        <v>50</v>
      </c>
      <c r="D592" s="40" t="s">
        <v>1477</v>
      </c>
      <c r="E592" s="40" t="s">
        <v>41</v>
      </c>
      <c r="F592" s="40" t="s">
        <v>991</v>
      </c>
      <c r="G592" s="41">
        <v>1</v>
      </c>
      <c r="H592" s="41">
        <v>31000</v>
      </c>
      <c r="I592" s="41">
        <v>0</v>
      </c>
      <c r="J592" s="41">
        <v>0</v>
      </c>
      <c r="K592" s="41">
        <v>31010</v>
      </c>
      <c r="L592" s="41" t="s">
        <v>1478</v>
      </c>
      <c r="M592" s="41">
        <v>-10</v>
      </c>
    </row>
    <row r="593" spans="1:13" x14ac:dyDescent="0.25">
      <c r="A593" s="40" t="s">
        <v>1426</v>
      </c>
      <c r="B593" s="40" t="s">
        <v>12</v>
      </c>
      <c r="C593" s="40" t="s">
        <v>50</v>
      </c>
      <c r="D593" s="40" t="s">
        <v>1479</v>
      </c>
      <c r="E593" s="40" t="s">
        <v>41</v>
      </c>
      <c r="F593" s="40" t="s">
        <v>656</v>
      </c>
      <c r="G593" s="41">
        <v>1</v>
      </c>
      <c r="H593" s="41">
        <v>35000</v>
      </c>
      <c r="I593" s="41">
        <v>0</v>
      </c>
      <c r="J593" s="41">
        <v>0</v>
      </c>
      <c r="K593" s="41">
        <v>33746</v>
      </c>
      <c r="L593" s="41" t="s">
        <v>1480</v>
      </c>
      <c r="M593" s="41">
        <v>1254</v>
      </c>
    </row>
    <row r="594" spans="1:13" x14ac:dyDescent="0.25">
      <c r="A594" s="40" t="s">
        <v>1426</v>
      </c>
      <c r="B594" s="40" t="s">
        <v>12</v>
      </c>
      <c r="C594" s="40" t="s">
        <v>50</v>
      </c>
      <c r="D594" s="40" t="s">
        <v>1481</v>
      </c>
      <c r="E594" s="40" t="s">
        <v>41</v>
      </c>
      <c r="F594" s="40" t="s">
        <v>991</v>
      </c>
      <c r="G594" s="41">
        <v>1</v>
      </c>
      <c r="H594" s="41">
        <v>31500</v>
      </c>
      <c r="I594" s="41">
        <v>0</v>
      </c>
      <c r="J594" s="41">
        <v>0</v>
      </c>
      <c r="K594" s="41">
        <v>31010</v>
      </c>
      <c r="L594" s="41" t="s">
        <v>1482</v>
      </c>
      <c r="M594" s="41">
        <v>490</v>
      </c>
    </row>
    <row r="595" spans="1:13" x14ac:dyDescent="0.25">
      <c r="A595" s="40" t="s">
        <v>1426</v>
      </c>
      <c r="B595" s="40" t="s">
        <v>12</v>
      </c>
      <c r="C595" s="40" t="s">
        <v>50</v>
      </c>
      <c r="D595" s="40" t="s">
        <v>1483</v>
      </c>
      <c r="E595" s="40" t="s">
        <v>45</v>
      </c>
      <c r="F595" s="40" t="s">
        <v>1467</v>
      </c>
      <c r="G595" s="41">
        <v>1</v>
      </c>
      <c r="H595" s="41">
        <v>28800</v>
      </c>
      <c r="I595" s="41">
        <v>0</v>
      </c>
      <c r="J595" s="41">
        <v>0</v>
      </c>
      <c r="K595" s="41">
        <v>29186</v>
      </c>
      <c r="L595" s="41" t="s">
        <v>1484</v>
      </c>
      <c r="M595" s="41">
        <v>-386</v>
      </c>
    </row>
    <row r="596" spans="1:13" x14ac:dyDescent="0.25">
      <c r="A596" s="40" t="s">
        <v>1426</v>
      </c>
      <c r="B596" s="40" t="s">
        <v>12</v>
      </c>
      <c r="C596" s="40" t="s">
        <v>50</v>
      </c>
      <c r="D596" s="40" t="s">
        <v>1485</v>
      </c>
      <c r="E596" s="40" t="s">
        <v>45</v>
      </c>
      <c r="F596" s="40" t="s">
        <v>991</v>
      </c>
      <c r="G596" s="41">
        <v>1</v>
      </c>
      <c r="H596" s="41">
        <v>30499</v>
      </c>
      <c r="I596" s="41">
        <v>0</v>
      </c>
      <c r="J596" s="41">
        <v>0</v>
      </c>
      <c r="K596" s="41">
        <v>31010</v>
      </c>
      <c r="L596" s="41" t="s">
        <v>1486</v>
      </c>
      <c r="M596" s="41">
        <v>-511</v>
      </c>
    </row>
    <row r="597" spans="1:13" x14ac:dyDescent="0.25">
      <c r="A597" s="40" t="s">
        <v>1426</v>
      </c>
      <c r="B597" s="40" t="s">
        <v>12</v>
      </c>
      <c r="C597" s="40" t="s">
        <v>50</v>
      </c>
      <c r="D597" s="40" t="s">
        <v>1487</v>
      </c>
      <c r="E597" s="40" t="s">
        <v>45</v>
      </c>
      <c r="F597" s="40" t="s">
        <v>991</v>
      </c>
      <c r="G597" s="41">
        <v>1</v>
      </c>
      <c r="H597" s="41">
        <v>30499</v>
      </c>
      <c r="I597" s="41">
        <v>0</v>
      </c>
      <c r="J597" s="41">
        <v>0</v>
      </c>
      <c r="K597" s="41">
        <v>31010</v>
      </c>
      <c r="L597" s="41" t="s">
        <v>1488</v>
      </c>
      <c r="M597" s="41">
        <v>-511</v>
      </c>
    </row>
    <row r="598" spans="1:13" x14ac:dyDescent="0.25">
      <c r="A598" s="40" t="s">
        <v>1426</v>
      </c>
      <c r="B598" s="40" t="s">
        <v>12</v>
      </c>
      <c r="C598" s="40" t="s">
        <v>50</v>
      </c>
      <c r="D598" s="40" t="s">
        <v>1489</v>
      </c>
      <c r="E598" s="40" t="s">
        <v>45</v>
      </c>
      <c r="F598" s="40" t="s">
        <v>991</v>
      </c>
      <c r="G598" s="41">
        <v>1</v>
      </c>
      <c r="H598" s="41">
        <v>31000</v>
      </c>
      <c r="I598" s="41">
        <v>0</v>
      </c>
      <c r="J598" s="41">
        <v>0</v>
      </c>
      <c r="K598" s="41">
        <v>31010</v>
      </c>
      <c r="L598" s="41" t="s">
        <v>1490</v>
      </c>
      <c r="M598" s="41">
        <v>-10</v>
      </c>
    </row>
    <row r="599" spans="1:13" x14ac:dyDescent="0.25">
      <c r="A599" s="40" t="s">
        <v>1426</v>
      </c>
      <c r="B599" s="40" t="s">
        <v>12</v>
      </c>
      <c r="C599" s="40" t="s">
        <v>50</v>
      </c>
      <c r="D599" s="40" t="s">
        <v>1491</v>
      </c>
      <c r="E599" s="40" t="s">
        <v>45</v>
      </c>
      <c r="F599" s="40" t="s">
        <v>991</v>
      </c>
      <c r="G599" s="41">
        <v>1</v>
      </c>
      <c r="H599" s="41">
        <v>30499</v>
      </c>
      <c r="I599" s="41">
        <v>0</v>
      </c>
      <c r="J599" s="41">
        <v>0</v>
      </c>
      <c r="K599" s="41">
        <v>31010</v>
      </c>
      <c r="L599" s="41" t="s">
        <v>1492</v>
      </c>
      <c r="M599" s="41">
        <v>-511</v>
      </c>
    </row>
    <row r="600" spans="1:13" x14ac:dyDescent="0.25">
      <c r="A600" s="40" t="s">
        <v>1426</v>
      </c>
      <c r="B600" s="40" t="s">
        <v>12</v>
      </c>
      <c r="C600" s="40" t="s">
        <v>50</v>
      </c>
      <c r="D600" s="40" t="s">
        <v>1493</v>
      </c>
      <c r="E600" s="40" t="s">
        <v>45</v>
      </c>
      <c r="F600" s="40" t="s">
        <v>1440</v>
      </c>
      <c r="G600" s="41">
        <v>1</v>
      </c>
      <c r="H600" s="41">
        <v>33200</v>
      </c>
      <c r="I600" s="41">
        <v>0</v>
      </c>
      <c r="J600" s="41">
        <v>0</v>
      </c>
      <c r="K600" s="41">
        <v>33746</v>
      </c>
      <c r="L600" s="41" t="s">
        <v>1494</v>
      </c>
      <c r="M600" s="41">
        <v>-546</v>
      </c>
    </row>
    <row r="601" spans="1:13" x14ac:dyDescent="0.25">
      <c r="A601" s="40" t="s">
        <v>1426</v>
      </c>
      <c r="B601" s="40" t="s">
        <v>12</v>
      </c>
      <c r="C601" s="40" t="s">
        <v>82</v>
      </c>
      <c r="D601" s="40" t="s">
        <v>1495</v>
      </c>
      <c r="E601" s="40" t="s">
        <v>105</v>
      </c>
      <c r="F601" s="40" t="s">
        <v>1496</v>
      </c>
      <c r="G601" s="41">
        <v>1</v>
      </c>
      <c r="H601" s="41">
        <v>14500</v>
      </c>
      <c r="I601" s="41">
        <v>0</v>
      </c>
      <c r="J601" s="41">
        <v>0</v>
      </c>
      <c r="K601" s="41">
        <v>14473</v>
      </c>
      <c r="L601" s="41" t="s">
        <v>1497</v>
      </c>
      <c r="M601" s="41">
        <v>27</v>
      </c>
    </row>
    <row r="602" spans="1:13" x14ac:dyDescent="0.25">
      <c r="A602" s="40" t="s">
        <v>1498</v>
      </c>
      <c r="B602" s="40" t="s">
        <v>12</v>
      </c>
      <c r="C602" s="40" t="s">
        <v>609</v>
      </c>
      <c r="D602" s="40" t="s">
        <v>1499</v>
      </c>
      <c r="E602" s="40" t="s">
        <v>41</v>
      </c>
      <c r="F602" s="40" t="s">
        <v>1500</v>
      </c>
      <c r="G602" s="41">
        <v>1</v>
      </c>
      <c r="H602" s="41">
        <v>1500</v>
      </c>
      <c r="I602" s="41">
        <v>0</v>
      </c>
      <c r="J602" s="41">
        <v>0</v>
      </c>
      <c r="K602" s="41">
        <v>1345</v>
      </c>
      <c r="L602" s="41" t="s">
        <v>1501</v>
      </c>
      <c r="M602" s="41">
        <v>155</v>
      </c>
    </row>
    <row r="603" spans="1:13" x14ac:dyDescent="0.25">
      <c r="A603" s="40" t="s">
        <v>1498</v>
      </c>
      <c r="B603" s="40" t="s">
        <v>12</v>
      </c>
      <c r="C603" s="40" t="s">
        <v>609</v>
      </c>
      <c r="D603" s="40" t="s">
        <v>1502</v>
      </c>
      <c r="E603" s="40" t="s">
        <v>41</v>
      </c>
      <c r="F603" s="40" t="s">
        <v>1503</v>
      </c>
      <c r="G603" s="41">
        <v>1</v>
      </c>
      <c r="H603" s="41">
        <v>1450</v>
      </c>
      <c r="I603" s="41">
        <v>0</v>
      </c>
      <c r="J603" s="41">
        <v>0</v>
      </c>
      <c r="K603" s="41">
        <v>1345</v>
      </c>
      <c r="L603" s="41" t="s">
        <v>1504</v>
      </c>
      <c r="M603" s="41">
        <v>105</v>
      </c>
    </row>
    <row r="604" spans="1:13" x14ac:dyDescent="0.25">
      <c r="A604" s="40" t="s">
        <v>1498</v>
      </c>
      <c r="B604" s="40" t="s">
        <v>12</v>
      </c>
      <c r="C604" s="40" t="s">
        <v>28</v>
      </c>
      <c r="D604" s="40" t="s">
        <v>1505</v>
      </c>
      <c r="E604" s="40" t="s">
        <v>95</v>
      </c>
      <c r="F604" s="40" t="s">
        <v>211</v>
      </c>
      <c r="G604" s="41">
        <v>1</v>
      </c>
      <c r="H604" s="41">
        <v>15000</v>
      </c>
      <c r="I604" s="41">
        <v>0</v>
      </c>
      <c r="J604" s="41">
        <v>0</v>
      </c>
      <c r="K604" s="41">
        <v>14568</v>
      </c>
      <c r="L604" s="41" t="s">
        <v>1506</v>
      </c>
      <c r="M604" s="41">
        <v>432</v>
      </c>
    </row>
    <row r="605" spans="1:13" x14ac:dyDescent="0.25">
      <c r="A605" s="40" t="s">
        <v>1498</v>
      </c>
      <c r="B605" s="40" t="s">
        <v>12</v>
      </c>
      <c r="C605" s="40" t="s">
        <v>28</v>
      </c>
      <c r="D605" s="40" t="s">
        <v>1507</v>
      </c>
      <c r="E605" s="40" t="s">
        <v>105</v>
      </c>
      <c r="F605" s="40" t="s">
        <v>106</v>
      </c>
      <c r="G605" s="41">
        <v>1</v>
      </c>
      <c r="H605" s="41">
        <v>16999</v>
      </c>
      <c r="I605" s="41">
        <v>0</v>
      </c>
      <c r="J605" s="41">
        <v>0</v>
      </c>
      <c r="K605" s="41">
        <v>16511</v>
      </c>
      <c r="L605" s="41" t="s">
        <v>1508</v>
      </c>
      <c r="M605" s="41">
        <v>488</v>
      </c>
    </row>
    <row r="606" spans="1:13" x14ac:dyDescent="0.25">
      <c r="A606" s="40" t="s">
        <v>1498</v>
      </c>
      <c r="B606" s="40" t="s">
        <v>12</v>
      </c>
      <c r="C606" s="40" t="s">
        <v>28</v>
      </c>
      <c r="D606" s="40" t="s">
        <v>1509</v>
      </c>
      <c r="E606" s="40" t="s">
        <v>105</v>
      </c>
      <c r="F606" s="40" t="s">
        <v>500</v>
      </c>
      <c r="G606" s="41">
        <v>1</v>
      </c>
      <c r="H606" s="41">
        <v>26500</v>
      </c>
      <c r="I606" s="41">
        <v>0</v>
      </c>
      <c r="J606" s="41">
        <v>0</v>
      </c>
      <c r="K606" s="41">
        <v>25975</v>
      </c>
      <c r="L606" s="41" t="s">
        <v>1510</v>
      </c>
      <c r="M606" s="41">
        <v>525</v>
      </c>
    </row>
    <row r="607" spans="1:13" x14ac:dyDescent="0.25">
      <c r="A607" s="40" t="s">
        <v>1498</v>
      </c>
      <c r="B607" s="40" t="s">
        <v>12</v>
      </c>
      <c r="C607" s="40" t="s">
        <v>28</v>
      </c>
      <c r="D607" s="40" t="s">
        <v>1511</v>
      </c>
      <c r="E607" s="40" t="s">
        <v>109</v>
      </c>
      <c r="F607" s="40" t="s">
        <v>1512</v>
      </c>
      <c r="G607" s="41">
        <v>1</v>
      </c>
      <c r="H607" s="41">
        <v>20500</v>
      </c>
      <c r="I607" s="41">
        <v>0</v>
      </c>
      <c r="J607" s="41">
        <v>0</v>
      </c>
      <c r="K607" s="41">
        <v>20203</v>
      </c>
      <c r="L607" s="41" t="s">
        <v>1513</v>
      </c>
      <c r="M607" s="41">
        <v>297</v>
      </c>
    </row>
    <row r="608" spans="1:13" x14ac:dyDescent="0.25">
      <c r="A608" s="40" t="s">
        <v>1498</v>
      </c>
      <c r="B608" s="40" t="s">
        <v>12</v>
      </c>
      <c r="C608" s="40" t="s">
        <v>28</v>
      </c>
      <c r="D608" s="40" t="s">
        <v>1514</v>
      </c>
      <c r="E608" s="40" t="s">
        <v>41</v>
      </c>
      <c r="F608" s="40" t="s">
        <v>1515</v>
      </c>
      <c r="G608" s="41">
        <v>1</v>
      </c>
      <c r="H608" s="41">
        <v>26500</v>
      </c>
      <c r="I608" s="41">
        <v>0</v>
      </c>
      <c r="J608" s="41">
        <v>0</v>
      </c>
      <c r="K608" s="41">
        <v>25975</v>
      </c>
      <c r="L608" s="41" t="s">
        <v>1516</v>
      </c>
      <c r="M608" s="41">
        <v>525</v>
      </c>
    </row>
    <row r="609" spans="1:13" x14ac:dyDescent="0.25">
      <c r="A609" s="40" t="s">
        <v>1498</v>
      </c>
      <c r="B609" s="40" t="s">
        <v>12</v>
      </c>
      <c r="C609" s="40" t="s">
        <v>28</v>
      </c>
      <c r="D609" s="40" t="s">
        <v>1517</v>
      </c>
      <c r="E609" s="40" t="s">
        <v>45</v>
      </c>
      <c r="F609" s="40" t="s">
        <v>102</v>
      </c>
      <c r="G609" s="41">
        <v>1</v>
      </c>
      <c r="H609" s="41">
        <v>26000</v>
      </c>
      <c r="I609" s="41">
        <v>0</v>
      </c>
      <c r="J609" s="41">
        <v>0</v>
      </c>
      <c r="K609" s="41">
        <v>25975</v>
      </c>
      <c r="L609" s="41" t="s">
        <v>1518</v>
      </c>
      <c r="M609" s="41">
        <v>25</v>
      </c>
    </row>
    <row r="610" spans="1:13" x14ac:dyDescent="0.25">
      <c r="A610" s="40" t="s">
        <v>1498</v>
      </c>
      <c r="B610" s="40" t="s">
        <v>12</v>
      </c>
      <c r="C610" s="40" t="s">
        <v>28</v>
      </c>
      <c r="D610" s="40" t="s">
        <v>1519</v>
      </c>
      <c r="E610" s="40" t="s">
        <v>45</v>
      </c>
      <c r="F610" s="40" t="s">
        <v>106</v>
      </c>
      <c r="G610" s="41">
        <v>1</v>
      </c>
      <c r="H610" s="41">
        <v>16500</v>
      </c>
      <c r="I610" s="41">
        <v>0</v>
      </c>
      <c r="J610" s="41">
        <v>0</v>
      </c>
      <c r="K610" s="41">
        <v>16511</v>
      </c>
      <c r="L610" s="41" t="s">
        <v>1520</v>
      </c>
      <c r="M610" s="41">
        <v>-11</v>
      </c>
    </row>
    <row r="611" spans="1:13" x14ac:dyDescent="0.25">
      <c r="A611" s="40" t="s">
        <v>1498</v>
      </c>
      <c r="B611" s="40" t="s">
        <v>12</v>
      </c>
      <c r="C611" s="40" t="s">
        <v>18</v>
      </c>
      <c r="D611" s="40" t="s">
        <v>1521</v>
      </c>
      <c r="E611" s="40" t="s">
        <v>105</v>
      </c>
      <c r="F611" s="40" t="s">
        <v>968</v>
      </c>
      <c r="G611" s="41">
        <v>1</v>
      </c>
      <c r="H611" s="41">
        <v>2100</v>
      </c>
      <c r="I611" s="41">
        <v>0</v>
      </c>
      <c r="J611" s="41">
        <v>0</v>
      </c>
      <c r="K611" s="41">
        <v>1936</v>
      </c>
      <c r="L611" s="41" t="s">
        <v>1522</v>
      </c>
      <c r="M611" s="41">
        <v>164</v>
      </c>
    </row>
    <row r="612" spans="1:13" x14ac:dyDescent="0.25">
      <c r="A612" s="40" t="s">
        <v>1498</v>
      </c>
      <c r="B612" s="40" t="s">
        <v>12</v>
      </c>
      <c r="C612" s="40" t="s">
        <v>18</v>
      </c>
      <c r="D612" s="40" t="s">
        <v>1523</v>
      </c>
      <c r="E612" s="40" t="s">
        <v>109</v>
      </c>
      <c r="F612" s="40" t="s">
        <v>968</v>
      </c>
      <c r="G612" s="41">
        <v>1</v>
      </c>
      <c r="H612" s="41">
        <v>2000</v>
      </c>
      <c r="I612" s="41">
        <v>0</v>
      </c>
      <c r="J612" s="41">
        <v>0</v>
      </c>
      <c r="K612" s="41">
        <v>1936</v>
      </c>
      <c r="L612" s="41" t="s">
        <v>1524</v>
      </c>
      <c r="M612" s="41">
        <v>64</v>
      </c>
    </row>
    <row r="613" spans="1:13" x14ac:dyDescent="0.25">
      <c r="A613" s="40" t="s">
        <v>1498</v>
      </c>
      <c r="B613" s="40" t="s">
        <v>12</v>
      </c>
      <c r="C613" s="40" t="s">
        <v>18</v>
      </c>
      <c r="D613" s="40" t="s">
        <v>1525</v>
      </c>
      <c r="E613" s="40" t="s">
        <v>162</v>
      </c>
      <c r="F613" s="40" t="s">
        <v>1526</v>
      </c>
      <c r="G613" s="41">
        <v>1</v>
      </c>
      <c r="H613" s="41">
        <v>2500</v>
      </c>
      <c r="I613" s="41">
        <v>0</v>
      </c>
      <c r="J613" s="41">
        <v>0</v>
      </c>
      <c r="K613" s="41">
        <v>2039</v>
      </c>
      <c r="L613" s="41" t="s">
        <v>1527</v>
      </c>
      <c r="M613" s="41">
        <v>461</v>
      </c>
    </row>
    <row r="614" spans="1:13" x14ac:dyDescent="0.25">
      <c r="A614" s="40" t="s">
        <v>1498</v>
      </c>
      <c r="B614" s="40" t="s">
        <v>12</v>
      </c>
      <c r="C614" s="40" t="s">
        <v>18</v>
      </c>
      <c r="D614" s="40" t="s">
        <v>1528</v>
      </c>
      <c r="E614" s="40" t="s">
        <v>34</v>
      </c>
      <c r="F614" s="40" t="s">
        <v>1526</v>
      </c>
      <c r="G614" s="41">
        <v>1</v>
      </c>
      <c r="H614" s="41">
        <v>2600</v>
      </c>
      <c r="I614" s="41">
        <v>0</v>
      </c>
      <c r="J614" s="41">
        <v>0</v>
      </c>
      <c r="K614" s="41">
        <v>2039</v>
      </c>
      <c r="L614" s="41" t="s">
        <v>1529</v>
      </c>
      <c r="M614" s="41">
        <v>561</v>
      </c>
    </row>
    <row r="615" spans="1:13" x14ac:dyDescent="0.25">
      <c r="A615" s="40" t="s">
        <v>1498</v>
      </c>
      <c r="B615" s="40" t="s">
        <v>12</v>
      </c>
      <c r="C615" s="40" t="s">
        <v>360</v>
      </c>
      <c r="D615" s="40" t="s">
        <v>1530</v>
      </c>
      <c r="E615" s="40" t="s">
        <v>95</v>
      </c>
      <c r="F615" s="40" t="s">
        <v>1531</v>
      </c>
      <c r="G615" s="41">
        <v>1</v>
      </c>
      <c r="H615" s="41">
        <v>19000</v>
      </c>
      <c r="I615" s="41">
        <v>0</v>
      </c>
      <c r="J615" s="41">
        <v>0</v>
      </c>
      <c r="K615" s="41">
        <v>18708</v>
      </c>
      <c r="L615" s="41" t="s">
        <v>1532</v>
      </c>
      <c r="M615" s="41">
        <v>292</v>
      </c>
    </row>
    <row r="616" spans="1:13" x14ac:dyDescent="0.25">
      <c r="A616" s="40" t="s">
        <v>1498</v>
      </c>
      <c r="B616" s="40" t="s">
        <v>12</v>
      </c>
      <c r="C616" s="40" t="s">
        <v>50</v>
      </c>
      <c r="D616" s="40" t="s">
        <v>1533</v>
      </c>
      <c r="E616" s="40" t="s">
        <v>15</v>
      </c>
      <c r="F616" s="40" t="s">
        <v>1534</v>
      </c>
      <c r="G616" s="41">
        <v>1</v>
      </c>
      <c r="H616" s="41">
        <v>17300</v>
      </c>
      <c r="I616" s="41">
        <v>0</v>
      </c>
      <c r="J616" s="41">
        <v>0</v>
      </c>
      <c r="K616" s="41">
        <v>17329</v>
      </c>
      <c r="L616" s="41" t="s">
        <v>1535</v>
      </c>
      <c r="M616" s="41">
        <v>-29</v>
      </c>
    </row>
    <row r="617" spans="1:13" x14ac:dyDescent="0.25">
      <c r="A617" s="40" t="s">
        <v>1498</v>
      </c>
      <c r="B617" s="40" t="s">
        <v>12</v>
      </c>
      <c r="C617" s="40" t="s">
        <v>50</v>
      </c>
      <c r="D617" s="40" t="s">
        <v>1536</v>
      </c>
      <c r="E617" s="40" t="s">
        <v>15</v>
      </c>
      <c r="F617" s="40" t="s">
        <v>563</v>
      </c>
      <c r="G617" s="41">
        <v>1</v>
      </c>
      <c r="H617" s="41">
        <v>31500</v>
      </c>
      <c r="I617" s="41">
        <v>0</v>
      </c>
      <c r="J617" s="41">
        <v>0</v>
      </c>
      <c r="K617" s="41">
        <v>31010</v>
      </c>
      <c r="L617" s="41" t="s">
        <v>1537</v>
      </c>
      <c r="M617" s="41">
        <v>490</v>
      </c>
    </row>
    <row r="618" spans="1:13" x14ac:dyDescent="0.25">
      <c r="A618" s="40" t="s">
        <v>1498</v>
      </c>
      <c r="B618" s="40" t="s">
        <v>12</v>
      </c>
      <c r="C618" s="40" t="s">
        <v>50</v>
      </c>
      <c r="D618" s="40" t="s">
        <v>1538</v>
      </c>
      <c r="E618" s="40" t="s">
        <v>24</v>
      </c>
      <c r="F618" s="40" t="s">
        <v>784</v>
      </c>
      <c r="G618" s="41">
        <v>1</v>
      </c>
      <c r="H618" s="41">
        <v>29999</v>
      </c>
      <c r="I618" s="41">
        <v>0</v>
      </c>
      <c r="J618" s="41">
        <v>0</v>
      </c>
      <c r="K618" s="41">
        <v>27362</v>
      </c>
      <c r="L618" s="41" t="s">
        <v>1539</v>
      </c>
      <c r="M618" s="41">
        <v>2637</v>
      </c>
    </row>
    <row r="619" spans="1:13" x14ac:dyDescent="0.25">
      <c r="A619" s="40" t="s">
        <v>1498</v>
      </c>
      <c r="B619" s="40" t="s">
        <v>12</v>
      </c>
      <c r="C619" s="40" t="s">
        <v>50</v>
      </c>
      <c r="D619" s="40" t="s">
        <v>1540</v>
      </c>
      <c r="E619" s="40" t="s">
        <v>105</v>
      </c>
      <c r="F619" s="40" t="s">
        <v>991</v>
      </c>
      <c r="G619" s="41">
        <v>1</v>
      </c>
      <c r="H619" s="41">
        <v>31000</v>
      </c>
      <c r="I619" s="41">
        <v>0</v>
      </c>
      <c r="J619" s="41">
        <v>0</v>
      </c>
      <c r="K619" s="41">
        <v>31010</v>
      </c>
      <c r="L619" s="41" t="s">
        <v>1541</v>
      </c>
      <c r="M619" s="41">
        <v>-10</v>
      </c>
    </row>
    <row r="620" spans="1:13" x14ac:dyDescent="0.25">
      <c r="A620" s="40" t="s">
        <v>1498</v>
      </c>
      <c r="B620" s="40" t="s">
        <v>12</v>
      </c>
      <c r="C620" s="40" t="s">
        <v>50</v>
      </c>
      <c r="D620" s="40" t="s">
        <v>1542</v>
      </c>
      <c r="E620" s="40" t="s">
        <v>109</v>
      </c>
      <c r="F620" s="40" t="s">
        <v>810</v>
      </c>
      <c r="G620" s="41">
        <v>1</v>
      </c>
      <c r="H620" s="41">
        <v>31000</v>
      </c>
      <c r="I620" s="41">
        <v>0</v>
      </c>
      <c r="J620" s="41">
        <v>0</v>
      </c>
      <c r="K620" s="41">
        <v>31010</v>
      </c>
      <c r="L620" s="41" t="s">
        <v>1543</v>
      </c>
      <c r="M620" s="41">
        <v>-10</v>
      </c>
    </row>
    <row r="621" spans="1:13" x14ac:dyDescent="0.25">
      <c r="A621" s="40" t="s">
        <v>1498</v>
      </c>
      <c r="B621" s="40" t="s">
        <v>12</v>
      </c>
      <c r="C621" s="40" t="s">
        <v>50</v>
      </c>
      <c r="D621" s="40" t="s">
        <v>1544</v>
      </c>
      <c r="E621" s="40" t="s">
        <v>109</v>
      </c>
      <c r="F621" s="40" t="s">
        <v>254</v>
      </c>
      <c r="G621" s="41">
        <v>1</v>
      </c>
      <c r="H621" s="41">
        <v>29400</v>
      </c>
      <c r="I621" s="41">
        <v>0</v>
      </c>
      <c r="J621" s="41">
        <v>0</v>
      </c>
      <c r="K621" s="41">
        <v>29186</v>
      </c>
      <c r="L621" s="41" t="s">
        <v>1545</v>
      </c>
      <c r="M621" s="41">
        <v>214</v>
      </c>
    </row>
    <row r="622" spans="1:13" x14ac:dyDescent="0.25">
      <c r="A622" s="40" t="s">
        <v>1498</v>
      </c>
      <c r="B622" s="40" t="s">
        <v>12</v>
      </c>
      <c r="C622" s="40" t="s">
        <v>50</v>
      </c>
      <c r="D622" s="40" t="s">
        <v>1546</v>
      </c>
      <c r="E622" s="40" t="s">
        <v>109</v>
      </c>
      <c r="F622" s="40" t="s">
        <v>254</v>
      </c>
      <c r="G622" s="41">
        <v>1</v>
      </c>
      <c r="H622" s="41">
        <v>29000</v>
      </c>
      <c r="I622" s="41">
        <v>0</v>
      </c>
      <c r="J622" s="41">
        <v>0</v>
      </c>
      <c r="K622" s="41">
        <v>29186</v>
      </c>
      <c r="L622" s="41" t="s">
        <v>1547</v>
      </c>
      <c r="M622" s="41">
        <v>-186</v>
      </c>
    </row>
    <row r="623" spans="1:13" x14ac:dyDescent="0.25">
      <c r="A623" s="40" t="s">
        <v>1498</v>
      </c>
      <c r="B623" s="40" t="s">
        <v>12</v>
      </c>
      <c r="C623" s="40" t="s">
        <v>50</v>
      </c>
      <c r="D623" s="40" t="s">
        <v>1548</v>
      </c>
      <c r="E623" s="40" t="s">
        <v>109</v>
      </c>
      <c r="F623" s="40" t="s">
        <v>254</v>
      </c>
      <c r="G623" s="41">
        <v>1</v>
      </c>
      <c r="H623" s="41">
        <v>28500</v>
      </c>
      <c r="I623" s="41">
        <v>0</v>
      </c>
      <c r="J623" s="41">
        <v>0</v>
      </c>
      <c r="K623" s="41">
        <v>29186</v>
      </c>
      <c r="L623" s="41" t="s">
        <v>1549</v>
      </c>
      <c r="M623" s="41">
        <v>-686</v>
      </c>
    </row>
    <row r="624" spans="1:13" x14ac:dyDescent="0.25">
      <c r="A624" s="40" t="s">
        <v>1498</v>
      </c>
      <c r="B624" s="40" t="s">
        <v>12</v>
      </c>
      <c r="C624" s="40" t="s">
        <v>50</v>
      </c>
      <c r="D624" s="40" t="s">
        <v>1550</v>
      </c>
      <c r="E624" s="40" t="s">
        <v>162</v>
      </c>
      <c r="F624" s="40" t="s">
        <v>656</v>
      </c>
      <c r="G624" s="41">
        <v>1</v>
      </c>
      <c r="H624" s="41">
        <v>34500</v>
      </c>
      <c r="I624" s="41">
        <v>0</v>
      </c>
      <c r="J624" s="41">
        <v>0</v>
      </c>
      <c r="K624" s="41">
        <v>33746</v>
      </c>
      <c r="L624" s="41" t="s">
        <v>1551</v>
      </c>
      <c r="M624" s="41">
        <v>754</v>
      </c>
    </row>
    <row r="625" spans="1:13" x14ac:dyDescent="0.25">
      <c r="A625" s="40" t="s">
        <v>1498</v>
      </c>
      <c r="B625" s="40" t="s">
        <v>12</v>
      </c>
      <c r="C625" s="40" t="s">
        <v>50</v>
      </c>
      <c r="D625" s="40" t="s">
        <v>1552</v>
      </c>
      <c r="E625" s="40" t="s">
        <v>162</v>
      </c>
      <c r="F625" s="40" t="s">
        <v>254</v>
      </c>
      <c r="G625" s="41">
        <v>1</v>
      </c>
      <c r="H625" s="41">
        <v>28500</v>
      </c>
      <c r="I625" s="41">
        <v>0</v>
      </c>
      <c r="J625" s="41">
        <v>0</v>
      </c>
      <c r="K625" s="41">
        <v>29186</v>
      </c>
      <c r="L625" s="41" t="s">
        <v>1553</v>
      </c>
      <c r="M625" s="41">
        <v>-686</v>
      </c>
    </row>
    <row r="626" spans="1:13" x14ac:dyDescent="0.25">
      <c r="A626" s="40" t="s">
        <v>1498</v>
      </c>
      <c r="B626" s="40" t="s">
        <v>12</v>
      </c>
      <c r="C626" s="40" t="s">
        <v>50</v>
      </c>
      <c r="D626" s="40" t="s">
        <v>1554</v>
      </c>
      <c r="E626" s="40" t="s">
        <v>162</v>
      </c>
      <c r="F626" s="40" t="s">
        <v>810</v>
      </c>
      <c r="G626" s="41">
        <v>1</v>
      </c>
      <c r="H626" s="41">
        <v>30999</v>
      </c>
      <c r="I626" s="41">
        <v>0</v>
      </c>
      <c r="J626" s="41">
        <v>0</v>
      </c>
      <c r="K626" s="41">
        <v>31010</v>
      </c>
      <c r="L626" s="41" t="s">
        <v>1555</v>
      </c>
      <c r="M626" s="41">
        <v>-11</v>
      </c>
    </row>
    <row r="627" spans="1:13" x14ac:dyDescent="0.25">
      <c r="A627" s="40" t="s">
        <v>1498</v>
      </c>
      <c r="B627" s="40" t="s">
        <v>12</v>
      </c>
      <c r="C627" s="40" t="s">
        <v>50</v>
      </c>
      <c r="D627" s="40" t="s">
        <v>1556</v>
      </c>
      <c r="E627" s="40" t="s">
        <v>162</v>
      </c>
      <c r="F627" s="40" t="s">
        <v>991</v>
      </c>
      <c r="G627" s="41">
        <v>1</v>
      </c>
      <c r="H627" s="41">
        <v>31000</v>
      </c>
      <c r="I627" s="41">
        <v>0</v>
      </c>
      <c r="J627" s="41">
        <v>0</v>
      </c>
      <c r="K627" s="41">
        <v>31010</v>
      </c>
      <c r="L627" s="41" t="s">
        <v>1557</v>
      </c>
      <c r="M627" s="41">
        <v>-10</v>
      </c>
    </row>
    <row r="628" spans="1:13" x14ac:dyDescent="0.25">
      <c r="A628" s="40" t="s">
        <v>1498</v>
      </c>
      <c r="B628" s="40" t="s">
        <v>12</v>
      </c>
      <c r="C628" s="40" t="s">
        <v>50</v>
      </c>
      <c r="D628" s="40" t="s">
        <v>1558</v>
      </c>
      <c r="E628" s="40" t="s">
        <v>162</v>
      </c>
      <c r="F628" s="40" t="s">
        <v>656</v>
      </c>
      <c r="G628" s="41">
        <v>1</v>
      </c>
      <c r="H628" s="41">
        <v>35000</v>
      </c>
      <c r="I628" s="41">
        <v>0</v>
      </c>
      <c r="J628" s="41">
        <v>0</v>
      </c>
      <c r="K628" s="41">
        <v>33746</v>
      </c>
      <c r="L628" s="41" t="s">
        <v>1559</v>
      </c>
      <c r="M628" s="41">
        <v>1254</v>
      </c>
    </row>
    <row r="629" spans="1:13" x14ac:dyDescent="0.25">
      <c r="A629" s="40" t="s">
        <v>1498</v>
      </c>
      <c r="B629" s="40" t="s">
        <v>12</v>
      </c>
      <c r="C629" s="40" t="s">
        <v>50</v>
      </c>
      <c r="D629" s="40" t="s">
        <v>1560</v>
      </c>
      <c r="E629" s="40" t="s">
        <v>162</v>
      </c>
      <c r="F629" s="40" t="s">
        <v>991</v>
      </c>
      <c r="G629" s="41">
        <v>1</v>
      </c>
      <c r="H629" s="41">
        <v>31000</v>
      </c>
      <c r="I629" s="41">
        <v>0</v>
      </c>
      <c r="J629" s="41">
        <v>0</v>
      </c>
      <c r="K629" s="41">
        <v>31010</v>
      </c>
      <c r="L629" s="41" t="s">
        <v>1561</v>
      </c>
      <c r="M629" s="41">
        <v>-10</v>
      </c>
    </row>
    <row r="630" spans="1:13" x14ac:dyDescent="0.25">
      <c r="A630" s="40" t="s">
        <v>1498</v>
      </c>
      <c r="B630" s="40" t="s">
        <v>12</v>
      </c>
      <c r="C630" s="40" t="s">
        <v>50</v>
      </c>
      <c r="D630" s="40" t="s">
        <v>1562</v>
      </c>
      <c r="E630" s="40" t="s">
        <v>30</v>
      </c>
      <c r="F630" s="40" t="s">
        <v>991</v>
      </c>
      <c r="G630" s="41">
        <v>1</v>
      </c>
      <c r="H630" s="41">
        <v>31000</v>
      </c>
      <c r="I630" s="41">
        <v>0</v>
      </c>
      <c r="J630" s="41">
        <v>0</v>
      </c>
      <c r="K630" s="41">
        <v>31010</v>
      </c>
      <c r="L630" s="41" t="s">
        <v>1563</v>
      </c>
      <c r="M630" s="41">
        <v>-10</v>
      </c>
    </row>
    <row r="631" spans="1:13" x14ac:dyDescent="0.25">
      <c r="A631" s="40" t="s">
        <v>1498</v>
      </c>
      <c r="B631" s="40" t="s">
        <v>12</v>
      </c>
      <c r="C631" s="40" t="s">
        <v>50</v>
      </c>
      <c r="D631" s="40" t="s">
        <v>1564</v>
      </c>
      <c r="E631" s="40" t="s">
        <v>30</v>
      </c>
      <c r="F631" s="40" t="s">
        <v>1467</v>
      </c>
      <c r="G631" s="41">
        <v>1</v>
      </c>
      <c r="H631" s="41">
        <v>29000</v>
      </c>
      <c r="I631" s="41">
        <v>0</v>
      </c>
      <c r="J631" s="41">
        <v>0</v>
      </c>
      <c r="K631" s="41">
        <v>29186</v>
      </c>
      <c r="L631" s="41" t="s">
        <v>1565</v>
      </c>
      <c r="M631" s="41">
        <v>-186</v>
      </c>
    </row>
    <row r="632" spans="1:13" x14ac:dyDescent="0.25">
      <c r="A632" s="40" t="s">
        <v>1498</v>
      </c>
      <c r="B632" s="40" t="s">
        <v>12</v>
      </c>
      <c r="C632" s="40" t="s">
        <v>50</v>
      </c>
      <c r="D632" s="40" t="s">
        <v>1566</v>
      </c>
      <c r="E632" s="40" t="s">
        <v>30</v>
      </c>
      <c r="F632" s="40" t="s">
        <v>1467</v>
      </c>
      <c r="G632" s="41">
        <v>1</v>
      </c>
      <c r="H632" s="41">
        <v>28500</v>
      </c>
      <c r="I632" s="41">
        <v>0</v>
      </c>
      <c r="J632" s="41">
        <v>0</v>
      </c>
      <c r="K632" s="41">
        <v>29186</v>
      </c>
      <c r="L632" s="41" t="s">
        <v>1567</v>
      </c>
      <c r="M632" s="41">
        <v>-686</v>
      </c>
    </row>
    <row r="633" spans="1:13" x14ac:dyDescent="0.25">
      <c r="A633" s="40" t="s">
        <v>1498</v>
      </c>
      <c r="B633" s="40" t="s">
        <v>12</v>
      </c>
      <c r="C633" s="40" t="s">
        <v>50</v>
      </c>
      <c r="D633" s="40" t="s">
        <v>1568</v>
      </c>
      <c r="E633" s="40" t="s">
        <v>30</v>
      </c>
      <c r="F633" s="40" t="s">
        <v>991</v>
      </c>
      <c r="G633" s="41">
        <v>1</v>
      </c>
      <c r="H633" s="41">
        <v>31000</v>
      </c>
      <c r="I633" s="41">
        <v>0</v>
      </c>
      <c r="J633" s="41">
        <v>0</v>
      </c>
      <c r="K633" s="41">
        <v>31010</v>
      </c>
      <c r="L633" s="41" t="s">
        <v>1569</v>
      </c>
      <c r="M633" s="41">
        <v>-10</v>
      </c>
    </row>
    <row r="634" spans="1:13" x14ac:dyDescent="0.25">
      <c r="A634" s="40" t="s">
        <v>1498</v>
      </c>
      <c r="B634" s="40" t="s">
        <v>12</v>
      </c>
      <c r="C634" s="40" t="s">
        <v>50</v>
      </c>
      <c r="D634" s="40" t="s">
        <v>1570</v>
      </c>
      <c r="E634" s="40" t="s">
        <v>34</v>
      </c>
      <c r="F634" s="40" t="s">
        <v>991</v>
      </c>
      <c r="G634" s="41">
        <v>1</v>
      </c>
      <c r="H634" s="41">
        <v>30800</v>
      </c>
      <c r="I634" s="41">
        <v>0</v>
      </c>
      <c r="J634" s="41">
        <v>0</v>
      </c>
      <c r="K634" s="41">
        <v>31010</v>
      </c>
      <c r="L634" s="41" t="s">
        <v>1571</v>
      </c>
      <c r="M634" s="41">
        <v>-210</v>
      </c>
    </row>
    <row r="635" spans="1:13" x14ac:dyDescent="0.25">
      <c r="A635" s="40" t="s">
        <v>1498</v>
      </c>
      <c r="B635" s="40" t="s">
        <v>12</v>
      </c>
      <c r="C635" s="40" t="s">
        <v>50</v>
      </c>
      <c r="D635" s="40" t="s">
        <v>1572</v>
      </c>
      <c r="E635" s="40" t="s">
        <v>34</v>
      </c>
      <c r="F635" s="40" t="s">
        <v>991</v>
      </c>
      <c r="G635" s="41">
        <v>1</v>
      </c>
      <c r="H635" s="41">
        <v>31500</v>
      </c>
      <c r="I635" s="41">
        <v>0</v>
      </c>
      <c r="J635" s="41">
        <v>0</v>
      </c>
      <c r="K635" s="41">
        <v>31010</v>
      </c>
      <c r="L635" s="41" t="s">
        <v>1573</v>
      </c>
      <c r="M635" s="41">
        <v>490</v>
      </c>
    </row>
    <row r="636" spans="1:13" x14ac:dyDescent="0.25">
      <c r="A636" s="40" t="s">
        <v>1498</v>
      </c>
      <c r="B636" s="40" t="s">
        <v>12</v>
      </c>
      <c r="C636" s="40" t="s">
        <v>50</v>
      </c>
      <c r="D636" s="40" t="s">
        <v>1574</v>
      </c>
      <c r="E636" s="40" t="s">
        <v>34</v>
      </c>
      <c r="F636" s="40" t="s">
        <v>991</v>
      </c>
      <c r="G636" s="41">
        <v>1</v>
      </c>
      <c r="H636" s="41">
        <v>30500</v>
      </c>
      <c r="I636" s="41">
        <v>0</v>
      </c>
      <c r="J636" s="41">
        <v>0</v>
      </c>
      <c r="K636" s="41">
        <v>31010</v>
      </c>
      <c r="L636" s="41" t="s">
        <v>1575</v>
      </c>
      <c r="M636" s="41">
        <v>-510</v>
      </c>
    </row>
    <row r="637" spans="1:13" x14ac:dyDescent="0.25">
      <c r="A637" s="40" t="s">
        <v>1498</v>
      </c>
      <c r="B637" s="40" t="s">
        <v>12</v>
      </c>
      <c r="C637" s="40" t="s">
        <v>50</v>
      </c>
      <c r="D637" s="40" t="s">
        <v>1576</v>
      </c>
      <c r="E637" s="40" t="s">
        <v>34</v>
      </c>
      <c r="F637" s="40" t="s">
        <v>991</v>
      </c>
      <c r="G637" s="41">
        <v>1</v>
      </c>
      <c r="H637" s="41">
        <v>31000</v>
      </c>
      <c r="I637" s="41">
        <v>0</v>
      </c>
      <c r="J637" s="41">
        <v>0</v>
      </c>
      <c r="K637" s="41">
        <v>31010</v>
      </c>
      <c r="L637" s="41" t="s">
        <v>1577</v>
      </c>
      <c r="M637" s="41">
        <v>-10</v>
      </c>
    </row>
    <row r="638" spans="1:13" x14ac:dyDescent="0.25">
      <c r="A638" s="40" t="s">
        <v>1498</v>
      </c>
      <c r="B638" s="40" t="s">
        <v>12</v>
      </c>
      <c r="C638" s="40" t="s">
        <v>50</v>
      </c>
      <c r="D638" s="40" t="s">
        <v>1578</v>
      </c>
      <c r="E638" s="40" t="s">
        <v>41</v>
      </c>
      <c r="F638" s="40" t="s">
        <v>991</v>
      </c>
      <c r="G638" s="41">
        <v>1</v>
      </c>
      <c r="H638" s="41">
        <v>30500</v>
      </c>
      <c r="I638" s="41">
        <v>0</v>
      </c>
      <c r="J638" s="41">
        <v>0</v>
      </c>
      <c r="K638" s="41">
        <v>31010</v>
      </c>
      <c r="L638" s="41" t="s">
        <v>1579</v>
      </c>
      <c r="M638" s="41">
        <v>-510</v>
      </c>
    </row>
    <row r="639" spans="1:13" x14ac:dyDescent="0.25">
      <c r="A639" s="40" t="s">
        <v>1498</v>
      </c>
      <c r="B639" s="40" t="s">
        <v>12</v>
      </c>
      <c r="C639" s="40" t="s">
        <v>50</v>
      </c>
      <c r="D639" s="40" t="s">
        <v>1580</v>
      </c>
      <c r="E639" s="40" t="s">
        <v>45</v>
      </c>
      <c r="F639" s="40" t="s">
        <v>810</v>
      </c>
      <c r="G639" s="41">
        <v>1</v>
      </c>
      <c r="H639" s="41">
        <v>30499</v>
      </c>
      <c r="I639" s="41">
        <v>0</v>
      </c>
      <c r="J639" s="41">
        <v>0</v>
      </c>
      <c r="K639" s="41">
        <v>31010</v>
      </c>
      <c r="L639" s="41" t="s">
        <v>1581</v>
      </c>
      <c r="M639" s="41">
        <v>-511</v>
      </c>
    </row>
    <row r="640" spans="1:13" x14ac:dyDescent="0.25">
      <c r="A640" s="40" t="s">
        <v>1498</v>
      </c>
      <c r="B640" s="40" t="s">
        <v>12</v>
      </c>
      <c r="C640" s="40" t="s">
        <v>50</v>
      </c>
      <c r="D640" s="40" t="s">
        <v>1582</v>
      </c>
      <c r="E640" s="40" t="s">
        <v>45</v>
      </c>
      <c r="F640" s="40" t="s">
        <v>569</v>
      </c>
      <c r="G640" s="41">
        <v>1</v>
      </c>
      <c r="H640" s="41">
        <v>14000</v>
      </c>
      <c r="I640" s="41">
        <v>0</v>
      </c>
      <c r="J640" s="41">
        <v>0</v>
      </c>
      <c r="K640" s="41">
        <v>14175</v>
      </c>
      <c r="L640" s="41" t="s">
        <v>1583</v>
      </c>
      <c r="M640" s="41">
        <v>-175</v>
      </c>
    </row>
    <row r="641" spans="1:13" x14ac:dyDescent="0.25">
      <c r="A641" s="40" t="s">
        <v>1498</v>
      </c>
      <c r="B641" s="40" t="s">
        <v>12</v>
      </c>
      <c r="C641" s="40" t="s">
        <v>50</v>
      </c>
      <c r="D641" s="40" t="s">
        <v>1584</v>
      </c>
      <c r="E641" s="40" t="s">
        <v>45</v>
      </c>
      <c r="F641" s="40" t="s">
        <v>991</v>
      </c>
      <c r="G641" s="41">
        <v>1</v>
      </c>
      <c r="H641" s="41">
        <v>30500</v>
      </c>
      <c r="I641" s="41">
        <v>0</v>
      </c>
      <c r="J641" s="41">
        <v>0</v>
      </c>
      <c r="K641" s="41">
        <v>31010</v>
      </c>
      <c r="L641" s="41" t="s">
        <v>1585</v>
      </c>
      <c r="M641" s="41">
        <v>-510</v>
      </c>
    </row>
    <row r="642" spans="1:13" x14ac:dyDescent="0.25">
      <c r="A642" s="40" t="s">
        <v>1498</v>
      </c>
      <c r="B642" s="40" t="s">
        <v>12</v>
      </c>
      <c r="C642" s="40" t="s">
        <v>82</v>
      </c>
      <c r="D642" s="40" t="s">
        <v>1586</v>
      </c>
      <c r="E642" s="40" t="s">
        <v>105</v>
      </c>
      <c r="F642" s="40" t="s">
        <v>826</v>
      </c>
      <c r="G642" s="41">
        <v>1</v>
      </c>
      <c r="H642" s="41">
        <v>12300</v>
      </c>
      <c r="I642" s="41">
        <v>0</v>
      </c>
      <c r="J642" s="41">
        <v>0</v>
      </c>
      <c r="K642" s="41">
        <v>12605</v>
      </c>
      <c r="L642" s="41" t="s">
        <v>1587</v>
      </c>
      <c r="M642" s="41">
        <v>-305</v>
      </c>
    </row>
    <row r="643" spans="1:13" x14ac:dyDescent="0.25">
      <c r="A643" s="40" t="s">
        <v>1588</v>
      </c>
      <c r="B643" s="40" t="s">
        <v>12</v>
      </c>
      <c r="C643" s="40" t="s">
        <v>28</v>
      </c>
      <c r="D643" s="40" t="s">
        <v>1589</v>
      </c>
      <c r="E643" s="40" t="s">
        <v>109</v>
      </c>
      <c r="F643" s="40" t="s">
        <v>31</v>
      </c>
      <c r="G643" s="41">
        <v>1</v>
      </c>
      <c r="H643" s="41">
        <v>12000</v>
      </c>
      <c r="I643" s="41">
        <v>0</v>
      </c>
      <c r="J643" s="41">
        <v>0</v>
      </c>
      <c r="K643" s="41">
        <v>11654</v>
      </c>
      <c r="L643" s="41" t="s">
        <v>1590</v>
      </c>
      <c r="M643" s="41">
        <v>346</v>
      </c>
    </row>
    <row r="644" spans="1:13" x14ac:dyDescent="0.25">
      <c r="A644" s="40" t="s">
        <v>1588</v>
      </c>
      <c r="B644" s="40" t="s">
        <v>12</v>
      </c>
      <c r="C644" s="40" t="s">
        <v>28</v>
      </c>
      <c r="D644" s="40" t="s">
        <v>1591</v>
      </c>
      <c r="E644" s="40" t="s">
        <v>162</v>
      </c>
      <c r="F644" s="40" t="s">
        <v>413</v>
      </c>
      <c r="G644" s="41">
        <v>1</v>
      </c>
      <c r="H644" s="41">
        <v>13600</v>
      </c>
      <c r="I644" s="41">
        <v>0</v>
      </c>
      <c r="J644" s="41">
        <v>0</v>
      </c>
      <c r="K644" s="41">
        <v>13597</v>
      </c>
      <c r="L644" s="41" t="s">
        <v>1592</v>
      </c>
      <c r="M644" s="41">
        <v>3</v>
      </c>
    </row>
    <row r="645" spans="1:13" x14ac:dyDescent="0.25">
      <c r="A645" s="40" t="s">
        <v>1588</v>
      </c>
      <c r="B645" s="40" t="s">
        <v>12</v>
      </c>
      <c r="C645" s="40" t="s">
        <v>22</v>
      </c>
      <c r="D645" s="40" t="s">
        <v>1593</v>
      </c>
      <c r="E645" s="40" t="s">
        <v>41</v>
      </c>
      <c r="F645" s="40" t="s">
        <v>532</v>
      </c>
      <c r="G645" s="41">
        <v>1</v>
      </c>
      <c r="H645" s="41">
        <v>36999</v>
      </c>
      <c r="I645" s="41">
        <v>0</v>
      </c>
      <c r="J645" s="41">
        <v>0</v>
      </c>
      <c r="K645" s="41">
        <v>36052</v>
      </c>
      <c r="L645" s="41" t="s">
        <v>1594</v>
      </c>
      <c r="M645" s="41">
        <v>947</v>
      </c>
    </row>
    <row r="646" spans="1:13" x14ac:dyDescent="0.25">
      <c r="A646" s="40" t="s">
        <v>1588</v>
      </c>
      <c r="B646" s="40" t="s">
        <v>12</v>
      </c>
      <c r="C646" s="40" t="s">
        <v>360</v>
      </c>
      <c r="D646" s="40" t="s">
        <v>1595</v>
      </c>
      <c r="E646" s="40" t="s">
        <v>95</v>
      </c>
      <c r="F646" s="40" t="s">
        <v>1596</v>
      </c>
      <c r="G646" s="41">
        <v>1</v>
      </c>
      <c r="H646" s="41">
        <v>18000</v>
      </c>
      <c r="I646" s="41">
        <v>0</v>
      </c>
      <c r="J646" s="41">
        <v>0</v>
      </c>
      <c r="K646" s="41">
        <v>17969</v>
      </c>
      <c r="L646" s="41" t="s">
        <v>1597</v>
      </c>
      <c r="M646" s="41">
        <v>31</v>
      </c>
    </row>
    <row r="647" spans="1:13" x14ac:dyDescent="0.25">
      <c r="A647" s="40" t="s">
        <v>1588</v>
      </c>
      <c r="B647" s="40" t="s">
        <v>12</v>
      </c>
      <c r="C647" s="40" t="s">
        <v>50</v>
      </c>
      <c r="D647" s="40" t="s">
        <v>1598</v>
      </c>
      <c r="E647" s="40" t="s">
        <v>15</v>
      </c>
      <c r="F647" s="40" t="s">
        <v>1243</v>
      </c>
      <c r="G647" s="41">
        <v>1</v>
      </c>
      <c r="H647" s="41">
        <v>20999</v>
      </c>
      <c r="I647" s="41">
        <v>0</v>
      </c>
      <c r="J647" s="41">
        <v>0</v>
      </c>
      <c r="K647" s="41">
        <v>20361</v>
      </c>
      <c r="L647" s="41" t="s">
        <v>1599</v>
      </c>
      <c r="M647" s="41">
        <v>638</v>
      </c>
    </row>
    <row r="648" spans="1:13" x14ac:dyDescent="0.25">
      <c r="A648" s="40" t="s">
        <v>1588</v>
      </c>
      <c r="B648" s="40" t="s">
        <v>12</v>
      </c>
      <c r="C648" s="40" t="s">
        <v>114</v>
      </c>
      <c r="D648" s="40" t="s">
        <v>1600</v>
      </c>
      <c r="E648" s="40" t="s">
        <v>24</v>
      </c>
      <c r="F648" s="40" t="s">
        <v>132</v>
      </c>
      <c r="G648" s="41">
        <v>1</v>
      </c>
      <c r="H648" s="41">
        <v>22000</v>
      </c>
      <c r="I648" s="41">
        <v>0</v>
      </c>
      <c r="J648" s="41">
        <v>0</v>
      </c>
      <c r="K648" s="41">
        <v>21968</v>
      </c>
      <c r="L648" s="41" t="s">
        <v>1601</v>
      </c>
      <c r="M648" s="41">
        <v>32</v>
      </c>
    </row>
    <row r="649" spans="1:13" x14ac:dyDescent="0.25">
      <c r="A649" s="40" t="s">
        <v>1588</v>
      </c>
      <c r="B649" s="40" t="s">
        <v>12</v>
      </c>
      <c r="C649" s="40" t="s">
        <v>60</v>
      </c>
      <c r="D649" s="40" t="s">
        <v>1602</v>
      </c>
      <c r="E649" s="40" t="s">
        <v>15</v>
      </c>
      <c r="F649" s="40" t="s">
        <v>1216</v>
      </c>
      <c r="G649" s="41">
        <v>1</v>
      </c>
      <c r="H649" s="41">
        <v>16200</v>
      </c>
      <c r="I649" s="41">
        <v>0</v>
      </c>
      <c r="J649" s="41">
        <v>0</v>
      </c>
      <c r="K649" s="41">
        <v>15847</v>
      </c>
      <c r="L649" s="41" t="s">
        <v>1603</v>
      </c>
      <c r="M649" s="41">
        <v>353</v>
      </c>
    </row>
    <row r="650" spans="1:13" x14ac:dyDescent="0.25">
      <c r="A650" s="40" t="s">
        <v>1588</v>
      </c>
      <c r="B650" s="40" t="s">
        <v>12</v>
      </c>
      <c r="C650" s="40" t="s">
        <v>60</v>
      </c>
      <c r="D650" s="40" t="s">
        <v>1604</v>
      </c>
      <c r="E650" s="40" t="s">
        <v>15</v>
      </c>
      <c r="F650" s="40" t="s">
        <v>1605</v>
      </c>
      <c r="G650" s="41">
        <v>1</v>
      </c>
      <c r="H650" s="41">
        <v>27350</v>
      </c>
      <c r="I650" s="41">
        <v>0</v>
      </c>
      <c r="J650" s="41">
        <v>0</v>
      </c>
      <c r="K650" s="41">
        <v>27349</v>
      </c>
      <c r="L650" s="41" t="s">
        <v>1606</v>
      </c>
      <c r="M650" s="41">
        <v>1</v>
      </c>
    </row>
    <row r="651" spans="1:13" x14ac:dyDescent="0.25">
      <c r="A651" s="40" t="s">
        <v>1588</v>
      </c>
      <c r="B651" s="40" t="s">
        <v>12</v>
      </c>
      <c r="C651" s="40" t="s">
        <v>60</v>
      </c>
      <c r="D651" s="40" t="s">
        <v>1607</v>
      </c>
      <c r="E651" s="40" t="s">
        <v>15</v>
      </c>
      <c r="F651" s="40" t="s">
        <v>1382</v>
      </c>
      <c r="G651" s="41">
        <v>1</v>
      </c>
      <c r="H651" s="41">
        <v>43500</v>
      </c>
      <c r="I651" s="41">
        <v>0</v>
      </c>
      <c r="J651" s="41">
        <v>0</v>
      </c>
      <c r="K651" s="41">
        <v>42253</v>
      </c>
      <c r="L651" s="41" t="s">
        <v>1608</v>
      </c>
      <c r="M651" s="41">
        <v>1247</v>
      </c>
    </row>
    <row r="652" spans="1:13" x14ac:dyDescent="0.25">
      <c r="A652" s="40" t="s">
        <v>1588</v>
      </c>
      <c r="B652" s="40" t="s">
        <v>12</v>
      </c>
      <c r="C652" s="40" t="s">
        <v>60</v>
      </c>
      <c r="D652" s="40" t="s">
        <v>1609</v>
      </c>
      <c r="E652" s="40" t="s">
        <v>15</v>
      </c>
      <c r="F652" s="40" t="s">
        <v>1382</v>
      </c>
      <c r="G652" s="41">
        <v>1</v>
      </c>
      <c r="H652" s="41">
        <v>42500</v>
      </c>
      <c r="I652" s="41">
        <v>0</v>
      </c>
      <c r="J652" s="41">
        <v>0</v>
      </c>
      <c r="K652" s="41">
        <v>42253</v>
      </c>
      <c r="L652" s="41" t="s">
        <v>1610</v>
      </c>
      <c r="M652" s="41">
        <v>247</v>
      </c>
    </row>
    <row r="653" spans="1:13" x14ac:dyDescent="0.25">
      <c r="A653" s="40" t="s">
        <v>1588</v>
      </c>
      <c r="B653" s="40" t="s">
        <v>12</v>
      </c>
      <c r="C653" s="40" t="s">
        <v>60</v>
      </c>
      <c r="D653" s="40" t="s">
        <v>1611</v>
      </c>
      <c r="E653" s="40" t="s">
        <v>24</v>
      </c>
      <c r="F653" s="40" t="s">
        <v>1026</v>
      </c>
      <c r="G653" s="41">
        <v>1</v>
      </c>
      <c r="H653" s="41">
        <v>31300</v>
      </c>
      <c r="I653" s="41">
        <v>0</v>
      </c>
      <c r="J653" s="41">
        <v>0</v>
      </c>
      <c r="K653" s="41">
        <v>31431</v>
      </c>
      <c r="L653" s="41" t="s">
        <v>1612</v>
      </c>
      <c r="M653" s="41">
        <v>-131</v>
      </c>
    </row>
    <row r="654" spans="1:13" x14ac:dyDescent="0.25">
      <c r="A654" s="40" t="s">
        <v>1588</v>
      </c>
      <c r="B654" s="40" t="s">
        <v>12</v>
      </c>
      <c r="C654" s="40" t="s">
        <v>60</v>
      </c>
      <c r="D654" s="40" t="s">
        <v>1613</v>
      </c>
      <c r="E654" s="40" t="s">
        <v>24</v>
      </c>
      <c r="F654" s="40" t="s">
        <v>1382</v>
      </c>
      <c r="G654" s="41">
        <v>1</v>
      </c>
      <c r="H654" s="41">
        <v>43000</v>
      </c>
      <c r="I654" s="41">
        <v>0</v>
      </c>
      <c r="J654" s="41">
        <v>0</v>
      </c>
      <c r="K654" s="41">
        <v>42253</v>
      </c>
      <c r="L654" s="41" t="s">
        <v>1614</v>
      </c>
      <c r="M654" s="41">
        <v>747</v>
      </c>
    </row>
    <row r="655" spans="1:13" x14ac:dyDescent="0.25">
      <c r="A655" s="40" t="s">
        <v>1588</v>
      </c>
      <c r="B655" s="40" t="s">
        <v>12</v>
      </c>
      <c r="C655" s="40" t="s">
        <v>60</v>
      </c>
      <c r="D655" s="40" t="s">
        <v>1615</v>
      </c>
      <c r="E655" s="40" t="s">
        <v>95</v>
      </c>
      <c r="F655" s="40" t="s">
        <v>1216</v>
      </c>
      <c r="G655" s="41">
        <v>1</v>
      </c>
      <c r="H655" s="41">
        <v>16000</v>
      </c>
      <c r="I655" s="41">
        <v>0</v>
      </c>
      <c r="J655" s="41">
        <v>0</v>
      </c>
      <c r="K655" s="41">
        <v>15847</v>
      </c>
      <c r="L655" s="41" t="s">
        <v>1616</v>
      </c>
      <c r="M655" s="41">
        <v>153</v>
      </c>
    </row>
    <row r="656" spans="1:13" x14ac:dyDescent="0.25">
      <c r="A656" s="40" t="s">
        <v>1588</v>
      </c>
      <c r="B656" s="40" t="s">
        <v>12</v>
      </c>
      <c r="C656" s="40" t="s">
        <v>60</v>
      </c>
      <c r="D656" s="40" t="s">
        <v>1617</v>
      </c>
      <c r="E656" s="40" t="s">
        <v>95</v>
      </c>
      <c r="F656" s="40" t="s">
        <v>80</v>
      </c>
      <c r="G656" s="41">
        <v>1</v>
      </c>
      <c r="H656" s="41">
        <v>23400</v>
      </c>
      <c r="I656" s="41">
        <v>0</v>
      </c>
      <c r="J656" s="41">
        <v>0</v>
      </c>
      <c r="K656" s="41">
        <v>23147</v>
      </c>
      <c r="L656" s="41" t="s">
        <v>1618</v>
      </c>
      <c r="M656" s="41">
        <v>253</v>
      </c>
    </row>
    <row r="657" spans="1:13" x14ac:dyDescent="0.25">
      <c r="A657" s="40" t="s">
        <v>1588</v>
      </c>
      <c r="B657" s="40" t="s">
        <v>12</v>
      </c>
      <c r="C657" s="40" t="s">
        <v>60</v>
      </c>
      <c r="D657" s="40" t="s">
        <v>1619</v>
      </c>
      <c r="E657" s="40" t="s">
        <v>95</v>
      </c>
      <c r="F657" s="40" t="s">
        <v>304</v>
      </c>
      <c r="G657" s="41">
        <v>1</v>
      </c>
      <c r="H657" s="41">
        <v>14000</v>
      </c>
      <c r="I657" s="41">
        <v>0</v>
      </c>
      <c r="J657" s="41">
        <v>0</v>
      </c>
      <c r="K657" s="41">
        <v>14010</v>
      </c>
      <c r="L657" s="41" t="s">
        <v>1620</v>
      </c>
      <c r="M657" s="41">
        <v>-10</v>
      </c>
    </row>
    <row r="658" spans="1:13" x14ac:dyDescent="0.25">
      <c r="A658" s="40" t="s">
        <v>1588</v>
      </c>
      <c r="B658" s="40" t="s">
        <v>12</v>
      </c>
      <c r="C658" s="40" t="s">
        <v>60</v>
      </c>
      <c r="D658" s="40" t="s">
        <v>1621</v>
      </c>
      <c r="E658" s="40" t="s">
        <v>135</v>
      </c>
      <c r="F658" s="40" t="s">
        <v>80</v>
      </c>
      <c r="G658" s="41">
        <v>1</v>
      </c>
      <c r="H658" s="41">
        <v>22800</v>
      </c>
      <c r="I658" s="41">
        <v>0</v>
      </c>
      <c r="J658" s="41">
        <v>0</v>
      </c>
      <c r="K658" s="41">
        <v>23147</v>
      </c>
      <c r="L658" s="41" t="s">
        <v>1622</v>
      </c>
      <c r="M658" s="41">
        <v>-347</v>
      </c>
    </row>
    <row r="659" spans="1:13" x14ac:dyDescent="0.25">
      <c r="A659" s="40" t="s">
        <v>1588</v>
      </c>
      <c r="B659" s="40" t="s">
        <v>12</v>
      </c>
      <c r="C659" s="40" t="s">
        <v>60</v>
      </c>
      <c r="D659" s="40" t="s">
        <v>1623</v>
      </c>
      <c r="E659" s="40" t="s">
        <v>135</v>
      </c>
      <c r="F659" s="40" t="s">
        <v>1624</v>
      </c>
      <c r="G659" s="41">
        <v>1</v>
      </c>
      <c r="H659" s="41">
        <v>76999</v>
      </c>
      <c r="I659" s="41">
        <v>0</v>
      </c>
      <c r="J659" s="41">
        <v>0</v>
      </c>
      <c r="K659" s="41">
        <v>74662</v>
      </c>
      <c r="L659" s="41" t="s">
        <v>1625</v>
      </c>
      <c r="M659" s="41">
        <v>2337</v>
      </c>
    </row>
    <row r="660" spans="1:13" x14ac:dyDescent="0.25">
      <c r="A660" s="40" t="s">
        <v>1588</v>
      </c>
      <c r="B660" s="40" t="s">
        <v>12</v>
      </c>
      <c r="C660" s="40" t="s">
        <v>60</v>
      </c>
      <c r="D660" s="40" t="s">
        <v>1626</v>
      </c>
      <c r="E660" s="40" t="s">
        <v>105</v>
      </c>
      <c r="F660" s="40" t="s">
        <v>267</v>
      </c>
      <c r="G660" s="41">
        <v>1</v>
      </c>
      <c r="H660" s="41">
        <v>21000</v>
      </c>
      <c r="I660" s="41">
        <v>0</v>
      </c>
      <c r="J660" s="41">
        <v>0</v>
      </c>
      <c r="K660" s="41">
        <v>21563</v>
      </c>
      <c r="L660" s="41" t="s">
        <v>1627</v>
      </c>
      <c r="M660" s="41">
        <v>-563</v>
      </c>
    </row>
    <row r="661" spans="1:13" x14ac:dyDescent="0.25">
      <c r="A661" s="40" t="s">
        <v>1588</v>
      </c>
      <c r="B661" s="40" t="s">
        <v>12</v>
      </c>
      <c r="C661" s="40" t="s">
        <v>60</v>
      </c>
      <c r="D661" s="40" t="s">
        <v>1628</v>
      </c>
      <c r="E661" s="40" t="s">
        <v>105</v>
      </c>
      <c r="F661" s="40" t="s">
        <v>62</v>
      </c>
      <c r="G661" s="41">
        <v>1</v>
      </c>
      <c r="H661" s="41">
        <v>15800</v>
      </c>
      <c r="I661" s="41">
        <v>0</v>
      </c>
      <c r="J661" s="41">
        <v>0</v>
      </c>
      <c r="K661" s="41">
        <v>15847</v>
      </c>
      <c r="L661" s="41" t="s">
        <v>1629</v>
      </c>
      <c r="M661" s="41">
        <v>-47</v>
      </c>
    </row>
    <row r="662" spans="1:13" x14ac:dyDescent="0.25">
      <c r="A662" s="40" t="s">
        <v>1588</v>
      </c>
      <c r="B662" s="40" t="s">
        <v>12</v>
      </c>
      <c r="C662" s="40" t="s">
        <v>60</v>
      </c>
      <c r="D662" s="40" t="s">
        <v>1630</v>
      </c>
      <c r="E662" s="40" t="s">
        <v>109</v>
      </c>
      <c r="F662" s="40" t="s">
        <v>286</v>
      </c>
      <c r="G662" s="41">
        <v>1</v>
      </c>
      <c r="H662" s="41">
        <v>52000</v>
      </c>
      <c r="I662" s="41">
        <v>0</v>
      </c>
      <c r="J662" s="41">
        <v>0</v>
      </c>
      <c r="K662" s="41">
        <v>52279</v>
      </c>
      <c r="L662" s="41" t="s">
        <v>1631</v>
      </c>
      <c r="M662" s="41">
        <v>-279</v>
      </c>
    </row>
    <row r="663" spans="1:13" x14ac:dyDescent="0.25">
      <c r="A663" s="40" t="s">
        <v>1588</v>
      </c>
      <c r="B663" s="40" t="s">
        <v>12</v>
      </c>
      <c r="C663" s="40" t="s">
        <v>60</v>
      </c>
      <c r="D663" s="40" t="s">
        <v>1632</v>
      </c>
      <c r="E663" s="40" t="s">
        <v>162</v>
      </c>
      <c r="F663" s="40" t="s">
        <v>304</v>
      </c>
      <c r="G663" s="41">
        <v>1</v>
      </c>
      <c r="H663" s="41">
        <v>13946</v>
      </c>
      <c r="I663" s="41">
        <v>0</v>
      </c>
      <c r="J663" s="41">
        <v>0</v>
      </c>
      <c r="K663" s="41">
        <v>14010</v>
      </c>
      <c r="L663" s="41" t="s">
        <v>1633</v>
      </c>
      <c r="M663" s="41">
        <v>-64</v>
      </c>
    </row>
    <row r="664" spans="1:13" x14ac:dyDescent="0.25">
      <c r="A664" s="40" t="s">
        <v>1588</v>
      </c>
      <c r="B664" s="40" t="s">
        <v>12</v>
      </c>
      <c r="C664" s="40" t="s">
        <v>60</v>
      </c>
      <c r="D664" s="40" t="s">
        <v>1634</v>
      </c>
      <c r="E664" s="40" t="s">
        <v>162</v>
      </c>
      <c r="F664" s="40" t="s">
        <v>1026</v>
      </c>
      <c r="G664" s="41">
        <v>1</v>
      </c>
      <c r="H664" s="41">
        <v>31500</v>
      </c>
      <c r="I664" s="41">
        <v>0</v>
      </c>
      <c r="J664" s="41">
        <v>0</v>
      </c>
      <c r="K664" s="41">
        <v>31431</v>
      </c>
      <c r="L664" s="41" t="s">
        <v>1635</v>
      </c>
      <c r="M664" s="41">
        <v>69</v>
      </c>
    </row>
    <row r="665" spans="1:13" x14ac:dyDescent="0.25">
      <c r="A665" s="40" t="s">
        <v>1588</v>
      </c>
      <c r="B665" s="40" t="s">
        <v>12</v>
      </c>
      <c r="C665" s="40" t="s">
        <v>60</v>
      </c>
      <c r="D665" s="40" t="s">
        <v>1636</v>
      </c>
      <c r="E665" s="40" t="s">
        <v>162</v>
      </c>
      <c r="F665" s="40" t="s">
        <v>1382</v>
      </c>
      <c r="G665" s="41">
        <v>1</v>
      </c>
      <c r="H665" s="41">
        <v>44000</v>
      </c>
      <c r="I665" s="41">
        <v>0</v>
      </c>
      <c r="J665" s="41">
        <v>0</v>
      </c>
      <c r="K665" s="41">
        <v>42253</v>
      </c>
      <c r="L665" s="41" t="s">
        <v>1637</v>
      </c>
      <c r="M665" s="41">
        <v>1747</v>
      </c>
    </row>
    <row r="666" spans="1:13" x14ac:dyDescent="0.25">
      <c r="A666" s="40" t="s">
        <v>1588</v>
      </c>
      <c r="B666" s="40" t="s">
        <v>12</v>
      </c>
      <c r="C666" s="40" t="s">
        <v>60</v>
      </c>
      <c r="D666" s="40" t="s">
        <v>1638</v>
      </c>
      <c r="E666" s="40" t="s">
        <v>30</v>
      </c>
      <c r="F666" s="40" t="s">
        <v>1639</v>
      </c>
      <c r="G666" s="41">
        <v>1</v>
      </c>
      <c r="H666" s="41">
        <v>36899</v>
      </c>
      <c r="I666" s="41">
        <v>0</v>
      </c>
      <c r="J666" s="41">
        <v>0</v>
      </c>
      <c r="K666" s="41">
        <v>37663</v>
      </c>
      <c r="L666" s="41" t="s">
        <v>1640</v>
      </c>
      <c r="M666" s="41">
        <v>-764</v>
      </c>
    </row>
    <row r="667" spans="1:13" x14ac:dyDescent="0.25">
      <c r="A667" s="40" t="s">
        <v>1588</v>
      </c>
      <c r="B667" s="40" t="s">
        <v>12</v>
      </c>
      <c r="C667" s="40" t="s">
        <v>60</v>
      </c>
      <c r="D667" s="40" t="s">
        <v>1641</v>
      </c>
      <c r="E667" s="40" t="s">
        <v>30</v>
      </c>
      <c r="F667" s="40" t="s">
        <v>1642</v>
      </c>
      <c r="G667" s="41">
        <v>1</v>
      </c>
      <c r="H667" s="41">
        <v>47199</v>
      </c>
      <c r="I667" s="41">
        <v>0</v>
      </c>
      <c r="J667" s="41">
        <v>0</v>
      </c>
      <c r="K667" s="41">
        <v>47689</v>
      </c>
      <c r="L667" s="41" t="s">
        <v>1643</v>
      </c>
      <c r="M667" s="41">
        <v>-490</v>
      </c>
    </row>
    <row r="668" spans="1:13" x14ac:dyDescent="0.25">
      <c r="A668" s="40" t="s">
        <v>1588</v>
      </c>
      <c r="B668" s="40" t="s">
        <v>12</v>
      </c>
      <c r="C668" s="40" t="s">
        <v>60</v>
      </c>
      <c r="D668" s="40" t="s">
        <v>1644</v>
      </c>
      <c r="E668" s="40" t="s">
        <v>30</v>
      </c>
      <c r="F668" s="40" t="s">
        <v>62</v>
      </c>
      <c r="G668" s="41">
        <v>1</v>
      </c>
      <c r="H668" s="41">
        <v>16000</v>
      </c>
      <c r="I668" s="41">
        <v>0</v>
      </c>
      <c r="J668" s="41">
        <v>0</v>
      </c>
      <c r="K668" s="41">
        <v>15847</v>
      </c>
      <c r="L668" s="41" t="s">
        <v>1645</v>
      </c>
      <c r="M668" s="41">
        <v>153</v>
      </c>
    </row>
    <row r="669" spans="1:13" x14ac:dyDescent="0.25">
      <c r="A669" s="40" t="s">
        <v>1588</v>
      </c>
      <c r="B669" s="40" t="s">
        <v>12</v>
      </c>
      <c r="C669" s="40" t="s">
        <v>60</v>
      </c>
      <c r="D669" s="40" t="s">
        <v>1646</v>
      </c>
      <c r="E669" s="40" t="s">
        <v>30</v>
      </c>
      <c r="F669" s="40" t="s">
        <v>77</v>
      </c>
      <c r="G669" s="41">
        <v>1</v>
      </c>
      <c r="H669" s="41">
        <v>42299</v>
      </c>
      <c r="I669" s="41">
        <v>0</v>
      </c>
      <c r="J669" s="41">
        <v>0</v>
      </c>
      <c r="K669" s="41">
        <v>41355</v>
      </c>
      <c r="L669" s="41" t="s">
        <v>1647</v>
      </c>
      <c r="M669" s="41">
        <v>944</v>
      </c>
    </row>
    <row r="670" spans="1:13" x14ac:dyDescent="0.25">
      <c r="A670" s="40" t="s">
        <v>1588</v>
      </c>
      <c r="B670" s="40" t="s">
        <v>12</v>
      </c>
      <c r="C670" s="40" t="s">
        <v>60</v>
      </c>
      <c r="D670" s="40" t="s">
        <v>1648</v>
      </c>
      <c r="E670" s="40" t="s">
        <v>34</v>
      </c>
      <c r="F670" s="40" t="s">
        <v>1031</v>
      </c>
      <c r="G670" s="41">
        <v>1</v>
      </c>
      <c r="H670" s="41">
        <v>26000</v>
      </c>
      <c r="I670" s="41">
        <v>0</v>
      </c>
      <c r="J670" s="41">
        <v>0</v>
      </c>
      <c r="K670" s="41">
        <v>25878</v>
      </c>
      <c r="L670" s="41" t="s">
        <v>1649</v>
      </c>
      <c r="M670" s="41">
        <v>122</v>
      </c>
    </row>
    <row r="671" spans="1:13" x14ac:dyDescent="0.25">
      <c r="A671" s="40" t="s">
        <v>1588</v>
      </c>
      <c r="B671" s="40" t="s">
        <v>12</v>
      </c>
      <c r="C671" s="40" t="s">
        <v>60</v>
      </c>
      <c r="D671" s="40" t="s">
        <v>1650</v>
      </c>
      <c r="E671" s="40" t="s">
        <v>34</v>
      </c>
      <c r="F671" s="40" t="s">
        <v>1639</v>
      </c>
      <c r="G671" s="41">
        <v>1</v>
      </c>
      <c r="H671" s="41">
        <v>37500</v>
      </c>
      <c r="I671" s="41">
        <v>0</v>
      </c>
      <c r="J671" s="41">
        <v>0</v>
      </c>
      <c r="K671" s="41">
        <v>37663</v>
      </c>
      <c r="L671" s="41" t="s">
        <v>1651</v>
      </c>
      <c r="M671" s="41">
        <v>-163</v>
      </c>
    </row>
    <row r="672" spans="1:13" x14ac:dyDescent="0.25">
      <c r="A672" s="40" t="s">
        <v>1588</v>
      </c>
      <c r="B672" s="40" t="s">
        <v>12</v>
      </c>
      <c r="C672" s="40" t="s">
        <v>60</v>
      </c>
      <c r="D672" s="40" t="s">
        <v>1652</v>
      </c>
      <c r="E672" s="40" t="s">
        <v>34</v>
      </c>
      <c r="F672" s="40" t="s">
        <v>1382</v>
      </c>
      <c r="G672" s="41">
        <v>1</v>
      </c>
      <c r="H672" s="41">
        <v>41600</v>
      </c>
      <c r="I672" s="41">
        <v>0</v>
      </c>
      <c r="J672" s="41">
        <v>0</v>
      </c>
      <c r="K672" s="41">
        <v>42253</v>
      </c>
      <c r="L672" s="41" t="s">
        <v>1653</v>
      </c>
      <c r="M672" s="41">
        <v>-653</v>
      </c>
    </row>
    <row r="673" spans="1:13" x14ac:dyDescent="0.25">
      <c r="A673" s="40" t="s">
        <v>1588</v>
      </c>
      <c r="B673" s="40" t="s">
        <v>12</v>
      </c>
      <c r="C673" s="40" t="s">
        <v>60</v>
      </c>
      <c r="D673" s="40" t="s">
        <v>1654</v>
      </c>
      <c r="E673" s="40" t="s">
        <v>41</v>
      </c>
      <c r="F673" s="40" t="s">
        <v>65</v>
      </c>
      <c r="G673" s="41">
        <v>1</v>
      </c>
      <c r="H673" s="41">
        <v>42000</v>
      </c>
      <c r="I673" s="41">
        <v>0</v>
      </c>
      <c r="J673" s="41">
        <v>0</v>
      </c>
      <c r="K673" s="41">
        <v>42253</v>
      </c>
      <c r="L673" s="41" t="s">
        <v>1655</v>
      </c>
      <c r="M673" s="41">
        <v>-253</v>
      </c>
    </row>
    <row r="674" spans="1:13" x14ac:dyDescent="0.25">
      <c r="A674" s="40" t="s">
        <v>1588</v>
      </c>
      <c r="B674" s="40" t="s">
        <v>12</v>
      </c>
      <c r="C674" s="40" t="s">
        <v>60</v>
      </c>
      <c r="D674" s="40" t="s">
        <v>1656</v>
      </c>
      <c r="E674" s="40" t="s">
        <v>41</v>
      </c>
      <c r="F674" s="40" t="s">
        <v>1657</v>
      </c>
      <c r="G674" s="41">
        <v>1</v>
      </c>
      <c r="H674" s="41">
        <v>53000</v>
      </c>
      <c r="I674" s="41">
        <v>0</v>
      </c>
      <c r="J674" s="41">
        <v>0</v>
      </c>
      <c r="K674" s="41">
        <v>52279</v>
      </c>
      <c r="L674" s="41" t="s">
        <v>1658</v>
      </c>
      <c r="M674" s="41">
        <v>721</v>
      </c>
    </row>
    <row r="675" spans="1:13" x14ac:dyDescent="0.25">
      <c r="A675" s="40" t="s">
        <v>1588</v>
      </c>
      <c r="B675" s="40" t="s">
        <v>12</v>
      </c>
      <c r="C675" s="40" t="s">
        <v>60</v>
      </c>
      <c r="D675" s="40" t="s">
        <v>1659</v>
      </c>
      <c r="E675" s="40" t="s">
        <v>41</v>
      </c>
      <c r="F675" s="40" t="s">
        <v>868</v>
      </c>
      <c r="G675" s="41">
        <v>1</v>
      </c>
      <c r="H675" s="41">
        <v>35500</v>
      </c>
      <c r="I675" s="41">
        <v>0</v>
      </c>
      <c r="J675" s="41">
        <v>0</v>
      </c>
      <c r="K675" s="41">
        <v>35123</v>
      </c>
      <c r="L675" s="41" t="s">
        <v>1660</v>
      </c>
      <c r="M675" s="41">
        <v>377</v>
      </c>
    </row>
    <row r="676" spans="1:13" x14ac:dyDescent="0.25">
      <c r="A676" s="40" t="s">
        <v>1588</v>
      </c>
      <c r="B676" s="40" t="s">
        <v>12</v>
      </c>
      <c r="C676" s="40" t="s">
        <v>60</v>
      </c>
      <c r="D676" s="40" t="s">
        <v>1661</v>
      </c>
      <c r="E676" s="40" t="s">
        <v>45</v>
      </c>
      <c r="F676" s="40" t="s">
        <v>1662</v>
      </c>
      <c r="G676" s="41">
        <v>1</v>
      </c>
      <c r="H676" s="41">
        <v>23000</v>
      </c>
      <c r="I676" s="41">
        <v>0</v>
      </c>
      <c r="J676" s="41">
        <v>0</v>
      </c>
      <c r="K676" s="41">
        <v>23452</v>
      </c>
      <c r="L676" s="41" t="s">
        <v>1663</v>
      </c>
      <c r="M676" s="41">
        <v>-452</v>
      </c>
    </row>
    <row r="677" spans="1:13" ht="15.75" customHeight="1" x14ac:dyDescent="0.25">
      <c r="A677" s="40" t="s">
        <v>1588</v>
      </c>
      <c r="B677" s="40" t="s">
        <v>12</v>
      </c>
      <c r="C677" s="40" t="s">
        <v>60</v>
      </c>
      <c r="D677" s="40" t="s">
        <v>1664</v>
      </c>
      <c r="E677" s="40" t="s">
        <v>45</v>
      </c>
      <c r="F677" s="40" t="s">
        <v>1665</v>
      </c>
      <c r="G677" s="41">
        <v>1</v>
      </c>
      <c r="H677" s="41">
        <v>20500</v>
      </c>
      <c r="I677" s="41">
        <v>0</v>
      </c>
      <c r="J677" s="41">
        <v>0</v>
      </c>
      <c r="K677" s="41">
        <v>20619</v>
      </c>
      <c r="L677" s="41" t="s">
        <v>1666</v>
      </c>
      <c r="M677" s="41">
        <v>-119</v>
      </c>
    </row>
    <row r="678" spans="1:13" x14ac:dyDescent="0.25">
      <c r="A678" s="40" t="s">
        <v>1588</v>
      </c>
      <c r="B678" s="40" t="s">
        <v>12</v>
      </c>
      <c r="C678" s="40" t="s">
        <v>60</v>
      </c>
      <c r="D678" s="40" t="s">
        <v>1667</v>
      </c>
      <c r="E678" s="40" t="s">
        <v>45</v>
      </c>
      <c r="F678" s="40" t="s">
        <v>603</v>
      </c>
      <c r="G678" s="41">
        <v>1</v>
      </c>
      <c r="H678" s="41">
        <v>48000</v>
      </c>
      <c r="I678" s="41">
        <v>0</v>
      </c>
      <c r="J678" s="41">
        <v>0</v>
      </c>
      <c r="K678" s="41">
        <v>47689</v>
      </c>
      <c r="L678" s="41" t="s">
        <v>1668</v>
      </c>
      <c r="M678" s="41">
        <v>311</v>
      </c>
    </row>
    <row r="679" spans="1:13" x14ac:dyDescent="0.25">
      <c r="A679" s="40" t="s">
        <v>1588</v>
      </c>
      <c r="B679" s="40" t="s">
        <v>12</v>
      </c>
      <c r="C679" s="40" t="s">
        <v>82</v>
      </c>
      <c r="D679" s="40" t="s">
        <v>1669</v>
      </c>
      <c r="E679" s="40" t="s">
        <v>34</v>
      </c>
      <c r="F679" s="40" t="s">
        <v>1670</v>
      </c>
      <c r="G679" s="41">
        <v>1</v>
      </c>
      <c r="H679" s="41">
        <v>25500</v>
      </c>
      <c r="I679" s="41">
        <v>0</v>
      </c>
      <c r="J679" s="41">
        <v>0</v>
      </c>
      <c r="K679" s="41">
        <v>25861</v>
      </c>
      <c r="L679" s="41" t="s">
        <v>1671</v>
      </c>
      <c r="M679" s="41">
        <v>-361</v>
      </c>
    </row>
    <row r="680" spans="1:13" x14ac:dyDescent="0.25">
      <c r="A680" s="40" t="s">
        <v>1672</v>
      </c>
      <c r="B680" s="40" t="s">
        <v>12</v>
      </c>
      <c r="C680" s="40" t="s">
        <v>609</v>
      </c>
      <c r="D680" s="40" t="s">
        <v>1673</v>
      </c>
      <c r="E680" s="40" t="s">
        <v>162</v>
      </c>
      <c r="F680" s="40" t="s">
        <v>1674</v>
      </c>
      <c r="G680" s="41">
        <v>1</v>
      </c>
      <c r="H680" s="41">
        <v>1300</v>
      </c>
      <c r="I680" s="41">
        <v>0</v>
      </c>
      <c r="J680" s="41">
        <v>0</v>
      </c>
      <c r="K680" s="41">
        <v>903</v>
      </c>
      <c r="L680" s="41" t="s">
        <v>1675</v>
      </c>
      <c r="M680" s="41">
        <v>397</v>
      </c>
    </row>
    <row r="681" spans="1:13" x14ac:dyDescent="0.25">
      <c r="A681" s="40" t="s">
        <v>1672</v>
      </c>
      <c r="B681" s="40" t="s">
        <v>12</v>
      </c>
      <c r="C681" s="40" t="s">
        <v>609</v>
      </c>
      <c r="D681" s="40" t="s">
        <v>1676</v>
      </c>
      <c r="E681" s="40" t="s">
        <v>34</v>
      </c>
      <c r="F681" s="40" t="s">
        <v>1677</v>
      </c>
      <c r="G681" s="41">
        <v>1</v>
      </c>
      <c r="H681" s="41">
        <v>1600</v>
      </c>
      <c r="I681" s="41">
        <v>0</v>
      </c>
      <c r="J681" s="41">
        <v>0</v>
      </c>
      <c r="K681" s="41">
        <v>1159</v>
      </c>
      <c r="L681" s="41" t="s">
        <v>1678</v>
      </c>
      <c r="M681" s="41">
        <v>441</v>
      </c>
    </row>
    <row r="682" spans="1:13" x14ac:dyDescent="0.25">
      <c r="A682" s="40" t="s">
        <v>1672</v>
      </c>
      <c r="B682" s="40" t="s">
        <v>12</v>
      </c>
      <c r="C682" s="40" t="s">
        <v>28</v>
      </c>
      <c r="D682" s="40" t="s">
        <v>1679</v>
      </c>
      <c r="E682" s="40" t="s">
        <v>135</v>
      </c>
      <c r="F682" s="40" t="s">
        <v>31</v>
      </c>
      <c r="G682" s="41">
        <v>1</v>
      </c>
      <c r="H682" s="41">
        <v>11700</v>
      </c>
      <c r="I682" s="41">
        <v>0</v>
      </c>
      <c r="J682" s="41">
        <v>0</v>
      </c>
      <c r="K682" s="41">
        <v>11654</v>
      </c>
      <c r="L682" s="41" t="s">
        <v>1680</v>
      </c>
      <c r="M682" s="41">
        <v>46</v>
      </c>
    </row>
    <row r="683" spans="1:13" x14ac:dyDescent="0.25">
      <c r="A683" s="40" t="s">
        <v>1672</v>
      </c>
      <c r="B683" s="40" t="s">
        <v>12</v>
      </c>
      <c r="C683" s="40" t="s">
        <v>28</v>
      </c>
      <c r="D683" s="40" t="s">
        <v>1681</v>
      </c>
      <c r="E683" s="40" t="s">
        <v>45</v>
      </c>
      <c r="F683" s="40" t="s">
        <v>31</v>
      </c>
      <c r="G683" s="41">
        <v>1</v>
      </c>
      <c r="H683" s="41">
        <v>12000</v>
      </c>
      <c r="I683" s="41">
        <v>0</v>
      </c>
      <c r="J683" s="41">
        <v>0</v>
      </c>
      <c r="K683" s="41">
        <v>12140</v>
      </c>
      <c r="L683" s="41" t="s">
        <v>1682</v>
      </c>
      <c r="M683" s="41">
        <v>-140</v>
      </c>
    </row>
    <row r="684" spans="1:13" x14ac:dyDescent="0.25">
      <c r="A684" s="40" t="s">
        <v>1672</v>
      </c>
      <c r="B684" s="40" t="s">
        <v>12</v>
      </c>
      <c r="C684" s="40" t="s">
        <v>360</v>
      </c>
      <c r="D684" s="40" t="s">
        <v>1683</v>
      </c>
      <c r="E684" s="40" t="s">
        <v>105</v>
      </c>
      <c r="F684" s="40" t="s">
        <v>1117</v>
      </c>
      <c r="G684" s="41">
        <v>1</v>
      </c>
      <c r="H684" s="41">
        <v>30500</v>
      </c>
      <c r="I684" s="41">
        <v>0</v>
      </c>
      <c r="J684" s="41">
        <v>0</v>
      </c>
      <c r="K684" s="41">
        <v>30801</v>
      </c>
      <c r="L684" s="41" t="s">
        <v>1684</v>
      </c>
      <c r="M684" s="41">
        <v>-301</v>
      </c>
    </row>
    <row r="685" spans="1:13" x14ac:dyDescent="0.25">
      <c r="A685" s="40" t="s">
        <v>1672</v>
      </c>
      <c r="B685" s="40" t="s">
        <v>12</v>
      </c>
      <c r="C685" s="40" t="s">
        <v>50</v>
      </c>
      <c r="D685" s="40" t="s">
        <v>1685</v>
      </c>
      <c r="E685" s="40" t="s">
        <v>95</v>
      </c>
      <c r="F685" s="40" t="s">
        <v>781</v>
      </c>
      <c r="G685" s="41">
        <v>1</v>
      </c>
      <c r="H685" s="41">
        <v>14080</v>
      </c>
      <c r="I685" s="41">
        <v>0</v>
      </c>
      <c r="J685" s="41">
        <v>0</v>
      </c>
      <c r="K685" s="41">
        <v>13582</v>
      </c>
      <c r="L685" s="41" t="s">
        <v>1686</v>
      </c>
      <c r="M685" s="41">
        <v>498</v>
      </c>
    </row>
    <row r="686" spans="1:13" x14ac:dyDescent="0.25">
      <c r="A686" s="40" t="s">
        <v>1672</v>
      </c>
      <c r="B686" s="40" t="s">
        <v>12</v>
      </c>
      <c r="C686" s="40" t="s">
        <v>114</v>
      </c>
      <c r="D686" s="40" t="s">
        <v>1687</v>
      </c>
      <c r="E686" s="40" t="s">
        <v>95</v>
      </c>
      <c r="F686" s="40" t="s">
        <v>1101</v>
      </c>
      <c r="G686" s="41">
        <v>1</v>
      </c>
      <c r="H686" s="41">
        <v>22500</v>
      </c>
      <c r="I686" s="41">
        <v>0</v>
      </c>
      <c r="J686" s="41">
        <v>0</v>
      </c>
      <c r="K686" s="41">
        <v>22782</v>
      </c>
      <c r="L686" s="41" t="s">
        <v>1688</v>
      </c>
      <c r="M686" s="41">
        <v>-282</v>
      </c>
    </row>
    <row r="687" spans="1:13" x14ac:dyDescent="0.25">
      <c r="A687" s="40" t="s">
        <v>1672</v>
      </c>
      <c r="B687" s="40" t="s">
        <v>12</v>
      </c>
      <c r="C687" s="40" t="s">
        <v>56</v>
      </c>
      <c r="D687" s="40" t="s">
        <v>1689</v>
      </c>
      <c r="E687" s="40" t="s">
        <v>135</v>
      </c>
      <c r="F687" s="40" t="s">
        <v>1690</v>
      </c>
      <c r="G687" s="41">
        <v>1</v>
      </c>
      <c r="H687" s="41">
        <v>18000</v>
      </c>
      <c r="I687" s="41">
        <v>0</v>
      </c>
      <c r="J687" s="41">
        <v>0</v>
      </c>
      <c r="K687" s="41">
        <v>16806</v>
      </c>
      <c r="L687" s="41" t="s">
        <v>1691</v>
      </c>
      <c r="M687" s="41">
        <v>1194</v>
      </c>
    </row>
    <row r="688" spans="1:13" x14ac:dyDescent="0.25">
      <c r="A688" s="40" t="s">
        <v>1672</v>
      </c>
      <c r="B688" s="40" t="s">
        <v>12</v>
      </c>
      <c r="C688" s="40" t="s">
        <v>60</v>
      </c>
      <c r="D688" s="40" t="s">
        <v>1692</v>
      </c>
      <c r="E688" s="40" t="s">
        <v>95</v>
      </c>
      <c r="F688" s="40" t="s">
        <v>62</v>
      </c>
      <c r="G688" s="41">
        <v>1</v>
      </c>
      <c r="H688" s="41">
        <v>16000</v>
      </c>
      <c r="I688" s="41">
        <v>0</v>
      </c>
      <c r="J688" s="41">
        <v>0</v>
      </c>
      <c r="K688" s="41">
        <v>15847</v>
      </c>
      <c r="L688" s="41" t="s">
        <v>1693</v>
      </c>
      <c r="M688" s="41">
        <v>153</v>
      </c>
    </row>
    <row r="689" spans="1:13" x14ac:dyDescent="0.25">
      <c r="A689" s="40" t="s">
        <v>1672</v>
      </c>
      <c r="B689" s="40" t="s">
        <v>12</v>
      </c>
      <c r="C689" s="40" t="s">
        <v>60</v>
      </c>
      <c r="D689" s="40" t="s">
        <v>1694</v>
      </c>
      <c r="E689" s="40" t="s">
        <v>95</v>
      </c>
      <c r="F689" s="40" t="s">
        <v>856</v>
      </c>
      <c r="G689" s="41">
        <v>1</v>
      </c>
      <c r="H689" s="41">
        <v>19500</v>
      </c>
      <c r="I689" s="41">
        <v>0</v>
      </c>
      <c r="J689" s="41">
        <v>0</v>
      </c>
      <c r="K689" s="41">
        <v>19370</v>
      </c>
      <c r="L689" s="41" t="s">
        <v>1695</v>
      </c>
      <c r="M689" s="41">
        <v>130</v>
      </c>
    </row>
    <row r="690" spans="1:13" x14ac:dyDescent="0.25">
      <c r="A690" s="40" t="s">
        <v>1672</v>
      </c>
      <c r="B690" s="40" t="s">
        <v>12</v>
      </c>
      <c r="C690" s="40" t="s">
        <v>60</v>
      </c>
      <c r="D690" s="40" t="s">
        <v>1696</v>
      </c>
      <c r="E690" s="40" t="s">
        <v>135</v>
      </c>
      <c r="F690" s="40" t="s">
        <v>65</v>
      </c>
      <c r="G690" s="41">
        <v>1</v>
      </c>
      <c r="H690" s="41">
        <v>45427</v>
      </c>
      <c r="I690" s="41">
        <v>0</v>
      </c>
      <c r="J690" s="41">
        <v>0</v>
      </c>
      <c r="K690" s="41">
        <v>42253</v>
      </c>
      <c r="L690" s="41" t="s">
        <v>1697</v>
      </c>
      <c r="M690" s="41">
        <v>3174</v>
      </c>
    </row>
    <row r="691" spans="1:13" x14ac:dyDescent="0.25">
      <c r="A691" s="40" t="s">
        <v>1672</v>
      </c>
      <c r="B691" s="40" t="s">
        <v>12</v>
      </c>
      <c r="C691" s="40" t="s">
        <v>60</v>
      </c>
      <c r="D691" s="40" t="s">
        <v>1698</v>
      </c>
      <c r="E691" s="40" t="s">
        <v>105</v>
      </c>
      <c r="F691" s="40" t="s">
        <v>294</v>
      </c>
      <c r="G691" s="41">
        <v>1</v>
      </c>
      <c r="H691" s="41">
        <v>25000</v>
      </c>
      <c r="I691" s="41">
        <v>0</v>
      </c>
      <c r="J691" s="41">
        <v>0</v>
      </c>
      <c r="K691" s="41">
        <v>23990</v>
      </c>
      <c r="L691" s="41" t="s">
        <v>1699</v>
      </c>
      <c r="M691" s="41">
        <v>1010</v>
      </c>
    </row>
    <row r="692" spans="1:13" x14ac:dyDescent="0.25">
      <c r="A692" s="40" t="s">
        <v>1672</v>
      </c>
      <c r="B692" s="40" t="s">
        <v>12</v>
      </c>
      <c r="C692" s="40" t="s">
        <v>60</v>
      </c>
      <c r="D692" s="40" t="s">
        <v>1700</v>
      </c>
      <c r="E692" s="40" t="s">
        <v>109</v>
      </c>
      <c r="F692" s="40" t="s">
        <v>1701</v>
      </c>
      <c r="G692" s="41">
        <v>1</v>
      </c>
      <c r="H692" s="41">
        <v>32500</v>
      </c>
      <c r="I692" s="41">
        <v>0</v>
      </c>
      <c r="J692" s="41">
        <v>0</v>
      </c>
      <c r="K692" s="41">
        <v>33328</v>
      </c>
      <c r="L692" s="41" t="s">
        <v>1702</v>
      </c>
      <c r="M692" s="41">
        <v>-828</v>
      </c>
    </row>
    <row r="693" spans="1:13" x14ac:dyDescent="0.25">
      <c r="A693" s="40" t="s">
        <v>1672</v>
      </c>
      <c r="B693" s="40" t="s">
        <v>12</v>
      </c>
      <c r="C693" s="40" t="s">
        <v>60</v>
      </c>
      <c r="D693" s="40" t="s">
        <v>1703</v>
      </c>
      <c r="E693" s="40" t="s">
        <v>109</v>
      </c>
      <c r="F693" s="40" t="s">
        <v>71</v>
      </c>
      <c r="G693" s="41">
        <v>1</v>
      </c>
      <c r="H693" s="41">
        <v>68500</v>
      </c>
      <c r="I693" s="41">
        <v>0</v>
      </c>
      <c r="J693" s="41">
        <v>0</v>
      </c>
      <c r="K693" s="41">
        <v>69202</v>
      </c>
      <c r="L693" s="41" t="s">
        <v>1704</v>
      </c>
      <c r="M693" s="41">
        <v>-702</v>
      </c>
    </row>
    <row r="694" spans="1:13" x14ac:dyDescent="0.25">
      <c r="A694" s="40" t="s">
        <v>1672</v>
      </c>
      <c r="B694" s="40" t="s">
        <v>12</v>
      </c>
      <c r="C694" s="40" t="s">
        <v>60</v>
      </c>
      <c r="D694" s="40" t="s">
        <v>1705</v>
      </c>
      <c r="E694" s="40" t="s">
        <v>30</v>
      </c>
      <c r="F694" s="40" t="s">
        <v>868</v>
      </c>
      <c r="G694" s="41">
        <v>1</v>
      </c>
      <c r="H694" s="41">
        <v>34999</v>
      </c>
      <c r="I694" s="41">
        <v>0</v>
      </c>
      <c r="J694" s="41">
        <v>0</v>
      </c>
      <c r="K694" s="41">
        <v>35123</v>
      </c>
      <c r="L694" s="41" t="s">
        <v>1706</v>
      </c>
      <c r="M694" s="41">
        <v>-124</v>
      </c>
    </row>
    <row r="695" spans="1:13" x14ac:dyDescent="0.25">
      <c r="A695" s="40" t="s">
        <v>1672</v>
      </c>
      <c r="B695" s="40" t="s">
        <v>12</v>
      </c>
      <c r="C695" s="40" t="s">
        <v>60</v>
      </c>
      <c r="D695" s="40" t="s">
        <v>1707</v>
      </c>
      <c r="E695" s="40" t="s">
        <v>30</v>
      </c>
      <c r="F695" s="40" t="s">
        <v>65</v>
      </c>
      <c r="G695" s="41">
        <v>1</v>
      </c>
      <c r="H695" s="41">
        <v>44000</v>
      </c>
      <c r="I695" s="41">
        <v>0</v>
      </c>
      <c r="J695" s="41">
        <v>0</v>
      </c>
      <c r="K695" s="41">
        <v>42253</v>
      </c>
      <c r="L695" s="41" t="s">
        <v>1708</v>
      </c>
      <c r="M695" s="41">
        <v>1747</v>
      </c>
    </row>
    <row r="696" spans="1:13" x14ac:dyDescent="0.25">
      <c r="A696" s="40" t="s">
        <v>1672</v>
      </c>
      <c r="B696" s="40" t="s">
        <v>12</v>
      </c>
      <c r="C696" s="40" t="s">
        <v>60</v>
      </c>
      <c r="D696" s="40" t="s">
        <v>1709</v>
      </c>
      <c r="E696" s="40" t="s">
        <v>34</v>
      </c>
      <c r="F696" s="40" t="s">
        <v>62</v>
      </c>
      <c r="G696" s="41">
        <v>1</v>
      </c>
      <c r="H696" s="41">
        <v>15500</v>
      </c>
      <c r="I696" s="41">
        <v>0</v>
      </c>
      <c r="J696" s="41">
        <v>0</v>
      </c>
      <c r="K696" s="41">
        <v>15847</v>
      </c>
      <c r="L696" s="41" t="s">
        <v>1710</v>
      </c>
      <c r="M696" s="41">
        <v>-347</v>
      </c>
    </row>
    <row r="697" spans="1:13" x14ac:dyDescent="0.25">
      <c r="A697" s="40" t="s">
        <v>1672</v>
      </c>
      <c r="B697" s="40" t="s">
        <v>12</v>
      </c>
      <c r="C697" s="40" t="s">
        <v>60</v>
      </c>
      <c r="D697" s="40" t="s">
        <v>1711</v>
      </c>
      <c r="E697" s="40" t="s">
        <v>34</v>
      </c>
      <c r="F697" s="40" t="s">
        <v>1382</v>
      </c>
      <c r="G697" s="41">
        <v>1</v>
      </c>
      <c r="H697" s="41">
        <v>41000</v>
      </c>
      <c r="I697" s="41">
        <v>0</v>
      </c>
      <c r="J697" s="41">
        <v>0</v>
      </c>
      <c r="K697" s="41">
        <v>42253</v>
      </c>
      <c r="L697" s="41" t="s">
        <v>1712</v>
      </c>
      <c r="M697" s="41">
        <v>-1253</v>
      </c>
    </row>
    <row r="698" spans="1:13" x14ac:dyDescent="0.25">
      <c r="A698" s="40" t="s">
        <v>1672</v>
      </c>
      <c r="B698" s="40" t="s">
        <v>12</v>
      </c>
      <c r="C698" s="40" t="s">
        <v>60</v>
      </c>
      <c r="D698" s="40" t="s">
        <v>1713</v>
      </c>
      <c r="E698" s="40" t="s">
        <v>41</v>
      </c>
      <c r="F698" s="40" t="s">
        <v>294</v>
      </c>
      <c r="G698" s="41">
        <v>1</v>
      </c>
      <c r="H698" s="41">
        <v>24000</v>
      </c>
      <c r="I698" s="41">
        <v>0</v>
      </c>
      <c r="J698" s="41">
        <v>0</v>
      </c>
      <c r="K698" s="41">
        <v>23990</v>
      </c>
      <c r="L698" s="41" t="s">
        <v>1714</v>
      </c>
      <c r="M698" s="41">
        <v>10</v>
      </c>
    </row>
    <row r="699" spans="1:13" x14ac:dyDescent="0.25">
      <c r="A699" s="40" t="s">
        <v>1672</v>
      </c>
      <c r="B699" s="40" t="s">
        <v>12</v>
      </c>
      <c r="C699" s="40" t="s">
        <v>60</v>
      </c>
      <c r="D699" s="40" t="s">
        <v>1715</v>
      </c>
      <c r="E699" s="40" t="s">
        <v>41</v>
      </c>
      <c r="F699" s="40" t="s">
        <v>289</v>
      </c>
      <c r="G699" s="41">
        <v>1</v>
      </c>
      <c r="H699" s="41">
        <v>48000</v>
      </c>
      <c r="I699" s="41">
        <v>0</v>
      </c>
      <c r="J699" s="41">
        <v>0</v>
      </c>
      <c r="K699" s="41">
        <v>47689</v>
      </c>
      <c r="L699" s="41" t="s">
        <v>1716</v>
      </c>
      <c r="M699" s="41">
        <v>311</v>
      </c>
    </row>
    <row r="700" spans="1:13" x14ac:dyDescent="0.25">
      <c r="A700" s="40" t="s">
        <v>1672</v>
      </c>
      <c r="B700" s="40" t="s">
        <v>12</v>
      </c>
      <c r="C700" s="40" t="s">
        <v>60</v>
      </c>
      <c r="D700" s="40" t="s">
        <v>1717</v>
      </c>
      <c r="E700" s="40" t="s">
        <v>41</v>
      </c>
      <c r="F700" s="40" t="s">
        <v>603</v>
      </c>
      <c r="G700" s="41">
        <v>1</v>
      </c>
      <c r="H700" s="41">
        <v>50000</v>
      </c>
      <c r="I700" s="41">
        <v>0</v>
      </c>
      <c r="J700" s="41">
        <v>0</v>
      </c>
      <c r="K700" s="41">
        <v>47689</v>
      </c>
      <c r="L700" s="41" t="s">
        <v>1718</v>
      </c>
      <c r="M700" s="41">
        <v>2311</v>
      </c>
    </row>
    <row r="701" spans="1:13" x14ac:dyDescent="0.25">
      <c r="A701" s="40" t="s">
        <v>1672</v>
      </c>
      <c r="B701" s="40" t="s">
        <v>12</v>
      </c>
      <c r="C701" s="40" t="s">
        <v>60</v>
      </c>
      <c r="D701" s="40" t="s">
        <v>1719</v>
      </c>
      <c r="E701" s="40" t="s">
        <v>45</v>
      </c>
      <c r="F701" s="40" t="s">
        <v>62</v>
      </c>
      <c r="G701" s="41">
        <v>1</v>
      </c>
      <c r="H701" s="41">
        <v>16000</v>
      </c>
      <c r="I701" s="41">
        <v>0</v>
      </c>
      <c r="J701" s="41">
        <v>0</v>
      </c>
      <c r="K701" s="41">
        <v>15847</v>
      </c>
      <c r="L701" s="41" t="s">
        <v>1720</v>
      </c>
      <c r="M701" s="41">
        <v>153</v>
      </c>
    </row>
    <row r="702" spans="1:13" x14ac:dyDescent="0.25">
      <c r="A702" s="40" t="s">
        <v>1672</v>
      </c>
      <c r="B702" s="40" t="s">
        <v>12</v>
      </c>
      <c r="C702" s="40" t="s">
        <v>82</v>
      </c>
      <c r="D702" s="40" t="s">
        <v>1721</v>
      </c>
      <c r="E702" s="40" t="s">
        <v>109</v>
      </c>
      <c r="F702" s="40" t="s">
        <v>1722</v>
      </c>
      <c r="G702" s="41">
        <v>1</v>
      </c>
      <c r="H702" s="41">
        <v>14000</v>
      </c>
      <c r="I702" s="41">
        <v>0</v>
      </c>
      <c r="J702" s="41">
        <v>0</v>
      </c>
      <c r="K702" s="41">
        <v>14473</v>
      </c>
      <c r="L702" s="41" t="s">
        <v>1723</v>
      </c>
      <c r="M702" s="41">
        <v>-473</v>
      </c>
    </row>
    <row r="703" spans="1:13" x14ac:dyDescent="0.25">
      <c r="A703" s="40" t="s">
        <v>1672</v>
      </c>
      <c r="B703" s="40" t="s">
        <v>12</v>
      </c>
      <c r="C703" s="40" t="s">
        <v>60</v>
      </c>
      <c r="D703" s="40" t="s">
        <v>1724</v>
      </c>
      <c r="E703" s="40" t="s">
        <v>15</v>
      </c>
      <c r="F703" s="40" t="s">
        <v>62</v>
      </c>
      <c r="G703" s="41">
        <v>1</v>
      </c>
      <c r="H703" s="41">
        <v>15500</v>
      </c>
      <c r="I703" s="41">
        <v>0</v>
      </c>
      <c r="J703" s="41">
        <v>0</v>
      </c>
      <c r="K703" s="41">
        <v>15847</v>
      </c>
      <c r="L703" s="41" t="s">
        <v>1725</v>
      </c>
      <c r="M703" s="41">
        <v>-347</v>
      </c>
    </row>
    <row r="704" spans="1:13" x14ac:dyDescent="0.25">
      <c r="A704" s="40" t="s">
        <v>1672</v>
      </c>
      <c r="B704" s="40" t="s">
        <v>12</v>
      </c>
      <c r="C704" s="40" t="s">
        <v>60</v>
      </c>
      <c r="D704" s="40" t="s">
        <v>1726</v>
      </c>
      <c r="E704" s="40" t="s">
        <v>24</v>
      </c>
      <c r="F704" s="40" t="s">
        <v>62</v>
      </c>
      <c r="G704" s="41">
        <v>1</v>
      </c>
      <c r="H704" s="41">
        <v>16500</v>
      </c>
      <c r="I704" s="41">
        <v>0</v>
      </c>
      <c r="J704" s="41">
        <v>0</v>
      </c>
      <c r="K704" s="41">
        <v>15847</v>
      </c>
      <c r="L704" s="41" t="s">
        <v>1727</v>
      </c>
      <c r="M704" s="41">
        <v>653</v>
      </c>
    </row>
    <row r="705" spans="1:13" x14ac:dyDescent="0.25">
      <c r="A705" s="40" t="s">
        <v>1672</v>
      </c>
      <c r="B705" s="40" t="s">
        <v>12</v>
      </c>
      <c r="C705" s="40" t="s">
        <v>60</v>
      </c>
      <c r="D705" s="40" t="s">
        <v>1728</v>
      </c>
      <c r="E705" s="40" t="s">
        <v>24</v>
      </c>
      <c r="F705" s="40" t="s">
        <v>304</v>
      </c>
      <c r="G705" s="41">
        <v>1</v>
      </c>
      <c r="H705" s="41">
        <v>13700</v>
      </c>
      <c r="I705" s="41">
        <v>0</v>
      </c>
      <c r="J705" s="41">
        <v>0</v>
      </c>
      <c r="K705" s="41">
        <v>14010</v>
      </c>
      <c r="L705" s="41" t="s">
        <v>1729</v>
      </c>
      <c r="M705" s="41">
        <v>-310</v>
      </c>
    </row>
    <row r="706" spans="1:13" x14ac:dyDescent="0.25">
      <c r="A706" s="40" t="s">
        <v>1730</v>
      </c>
      <c r="B706" s="40" t="s">
        <v>27</v>
      </c>
      <c r="C706" s="40" t="s">
        <v>28</v>
      </c>
      <c r="D706" s="40" t="s">
        <v>1731</v>
      </c>
      <c r="E706" s="40" t="s">
        <v>15</v>
      </c>
      <c r="F706" s="40" t="s">
        <v>211</v>
      </c>
      <c r="G706" s="41">
        <v>1</v>
      </c>
      <c r="H706" s="41">
        <v>14700</v>
      </c>
      <c r="I706" s="41">
        <v>0</v>
      </c>
      <c r="J706" s="41">
        <v>0</v>
      </c>
      <c r="K706" s="41">
        <v>14568</v>
      </c>
      <c r="L706" s="41" t="s">
        <v>1732</v>
      </c>
      <c r="M706" s="41">
        <v>132</v>
      </c>
    </row>
    <row r="707" spans="1:13" x14ac:dyDescent="0.25">
      <c r="A707" s="40" t="s">
        <v>1730</v>
      </c>
      <c r="B707" s="40" t="s">
        <v>27</v>
      </c>
      <c r="C707" s="40" t="s">
        <v>28</v>
      </c>
      <c r="D707" s="40" t="s">
        <v>1733</v>
      </c>
      <c r="E707" s="40" t="s">
        <v>30</v>
      </c>
      <c r="F707" s="40" t="s">
        <v>243</v>
      </c>
      <c r="G707" s="41">
        <v>1</v>
      </c>
      <c r="H707" s="41">
        <v>16500</v>
      </c>
      <c r="I707" s="41">
        <v>0</v>
      </c>
      <c r="J707" s="41">
        <v>0</v>
      </c>
      <c r="K707" s="41">
        <v>16511</v>
      </c>
      <c r="L707" s="41" t="s">
        <v>1734</v>
      </c>
      <c r="M707" s="41">
        <v>-11</v>
      </c>
    </row>
    <row r="708" spans="1:13" x14ac:dyDescent="0.25">
      <c r="A708" s="40" t="s">
        <v>1730</v>
      </c>
      <c r="B708" s="40" t="s">
        <v>27</v>
      </c>
      <c r="C708" s="40" t="s">
        <v>28</v>
      </c>
      <c r="D708" s="40" t="s">
        <v>1735</v>
      </c>
      <c r="E708" s="40" t="s">
        <v>30</v>
      </c>
      <c r="F708" s="40" t="s">
        <v>31</v>
      </c>
      <c r="G708" s="41">
        <v>1</v>
      </c>
      <c r="H708" s="41">
        <v>12100</v>
      </c>
      <c r="I708" s="41">
        <v>0</v>
      </c>
      <c r="J708" s="41">
        <v>0</v>
      </c>
      <c r="K708" s="41">
        <v>12140</v>
      </c>
      <c r="L708" s="41" t="s">
        <v>1736</v>
      </c>
      <c r="M708" s="41">
        <v>-40</v>
      </c>
    </row>
    <row r="709" spans="1:13" x14ac:dyDescent="0.25">
      <c r="A709" s="40" t="s">
        <v>1730</v>
      </c>
      <c r="B709" s="40" t="s">
        <v>27</v>
      </c>
      <c r="C709" s="40" t="s">
        <v>28</v>
      </c>
      <c r="D709" s="40" t="s">
        <v>1737</v>
      </c>
      <c r="E709" s="40" t="s">
        <v>34</v>
      </c>
      <c r="F709" s="40" t="s">
        <v>413</v>
      </c>
      <c r="G709" s="41">
        <v>1</v>
      </c>
      <c r="H709" s="41">
        <v>13500</v>
      </c>
      <c r="I709" s="41">
        <v>0</v>
      </c>
      <c r="J709" s="41">
        <v>0</v>
      </c>
      <c r="K709" s="41">
        <v>13597</v>
      </c>
      <c r="L709" s="41" t="s">
        <v>1738</v>
      </c>
      <c r="M709" s="41">
        <v>-97</v>
      </c>
    </row>
    <row r="710" spans="1:13" x14ac:dyDescent="0.25">
      <c r="A710" s="40" t="s">
        <v>1730</v>
      </c>
      <c r="B710" s="40" t="s">
        <v>27</v>
      </c>
      <c r="C710" s="40" t="s">
        <v>28</v>
      </c>
      <c r="D710" s="40" t="s">
        <v>1739</v>
      </c>
      <c r="E710" s="40" t="s">
        <v>34</v>
      </c>
      <c r="F710" s="40" t="s">
        <v>35</v>
      </c>
      <c r="G710" s="41">
        <v>1</v>
      </c>
      <c r="H710" s="41">
        <v>15999</v>
      </c>
      <c r="I710" s="41">
        <v>0</v>
      </c>
      <c r="J710" s="41">
        <v>0</v>
      </c>
      <c r="K710" s="41">
        <v>15540</v>
      </c>
      <c r="L710" s="41" t="s">
        <v>1740</v>
      </c>
      <c r="M710" s="41">
        <v>459</v>
      </c>
    </row>
    <row r="711" spans="1:13" x14ac:dyDescent="0.25">
      <c r="A711" s="40" t="s">
        <v>1730</v>
      </c>
      <c r="B711" s="40" t="s">
        <v>27</v>
      </c>
      <c r="C711" s="40" t="s">
        <v>18</v>
      </c>
      <c r="D711" s="40" t="s">
        <v>1741</v>
      </c>
      <c r="E711" s="40" t="s">
        <v>34</v>
      </c>
      <c r="F711" s="40" t="s">
        <v>20</v>
      </c>
      <c r="G711" s="41">
        <v>1</v>
      </c>
      <c r="H711" s="41">
        <v>1200</v>
      </c>
      <c r="I711" s="41">
        <v>0</v>
      </c>
      <c r="J711" s="41">
        <v>0</v>
      </c>
      <c r="K711" s="41">
        <v>1157</v>
      </c>
      <c r="L711" s="41" t="s">
        <v>1742</v>
      </c>
      <c r="M711" s="41">
        <v>43</v>
      </c>
    </row>
    <row r="712" spans="1:13" x14ac:dyDescent="0.25">
      <c r="A712" s="40" t="s">
        <v>1730</v>
      </c>
      <c r="B712" s="40" t="s">
        <v>27</v>
      </c>
      <c r="C712" s="40" t="s">
        <v>527</v>
      </c>
      <c r="D712" s="40" t="s">
        <v>1743</v>
      </c>
      <c r="E712" s="40" t="s">
        <v>95</v>
      </c>
      <c r="F712" s="40" t="s">
        <v>1744</v>
      </c>
      <c r="G712" s="41">
        <v>1</v>
      </c>
      <c r="H712" s="41">
        <v>23000</v>
      </c>
      <c r="I712" s="41">
        <v>0</v>
      </c>
      <c r="J712" s="41">
        <v>0</v>
      </c>
      <c r="K712" s="41">
        <v>22784</v>
      </c>
      <c r="L712" s="41" t="s">
        <v>1745</v>
      </c>
      <c r="M712" s="41">
        <v>216</v>
      </c>
    </row>
    <row r="713" spans="1:13" x14ac:dyDescent="0.25">
      <c r="A713" s="40" t="s">
        <v>1730</v>
      </c>
      <c r="B713" s="40" t="s">
        <v>27</v>
      </c>
      <c r="C713" s="40" t="s">
        <v>360</v>
      </c>
      <c r="D713" s="40" t="s">
        <v>1746</v>
      </c>
      <c r="E713" s="40" t="s">
        <v>24</v>
      </c>
      <c r="F713" s="40" t="s">
        <v>651</v>
      </c>
      <c r="G713" s="41">
        <v>1</v>
      </c>
      <c r="H713" s="41">
        <v>14000</v>
      </c>
      <c r="I713" s="41">
        <v>0</v>
      </c>
      <c r="J713" s="41">
        <v>0</v>
      </c>
      <c r="K713" s="41">
        <v>14232</v>
      </c>
      <c r="L713" s="41" t="s">
        <v>1747</v>
      </c>
      <c r="M713" s="41">
        <v>-232</v>
      </c>
    </row>
    <row r="714" spans="1:13" x14ac:dyDescent="0.25">
      <c r="A714" s="40" t="s">
        <v>1730</v>
      </c>
      <c r="B714" s="40" t="s">
        <v>27</v>
      </c>
      <c r="C714" s="40" t="s">
        <v>360</v>
      </c>
      <c r="D714" s="40" t="s">
        <v>1748</v>
      </c>
      <c r="E714" s="40" t="s">
        <v>109</v>
      </c>
      <c r="F714" s="40" t="s">
        <v>734</v>
      </c>
      <c r="G714" s="41">
        <v>1</v>
      </c>
      <c r="H714" s="41">
        <v>34450</v>
      </c>
      <c r="I714" s="41">
        <v>0</v>
      </c>
      <c r="J714" s="41">
        <v>0</v>
      </c>
      <c r="K714" s="41">
        <v>34840</v>
      </c>
      <c r="L714" s="41" t="s">
        <v>1749</v>
      </c>
      <c r="M714" s="41">
        <v>-390</v>
      </c>
    </row>
    <row r="715" spans="1:13" x14ac:dyDescent="0.25">
      <c r="A715" s="40" t="s">
        <v>1730</v>
      </c>
      <c r="B715" s="40" t="s">
        <v>27</v>
      </c>
      <c r="C715" s="40" t="s">
        <v>360</v>
      </c>
      <c r="D715" s="40" t="s">
        <v>1750</v>
      </c>
      <c r="E715" s="40" t="s">
        <v>162</v>
      </c>
      <c r="F715" s="40" t="s">
        <v>740</v>
      </c>
      <c r="G715" s="41">
        <v>1</v>
      </c>
      <c r="H715" s="41">
        <v>26500</v>
      </c>
      <c r="I715" s="41">
        <v>0</v>
      </c>
      <c r="J715" s="41">
        <v>0</v>
      </c>
      <c r="K715" s="41">
        <v>26649</v>
      </c>
      <c r="L715" s="41" t="s">
        <v>1751</v>
      </c>
      <c r="M715" s="41">
        <v>-149</v>
      </c>
    </row>
    <row r="716" spans="1:13" x14ac:dyDescent="0.25">
      <c r="A716" s="40" t="s">
        <v>1730</v>
      </c>
      <c r="B716" s="40" t="s">
        <v>27</v>
      </c>
      <c r="C716" s="40" t="s">
        <v>360</v>
      </c>
      <c r="D716" s="40" t="s">
        <v>1752</v>
      </c>
      <c r="E716" s="40" t="s">
        <v>30</v>
      </c>
      <c r="F716" s="40" t="s">
        <v>551</v>
      </c>
      <c r="G716" s="41">
        <v>1</v>
      </c>
      <c r="H716" s="41">
        <v>25499</v>
      </c>
      <c r="I716" s="41">
        <v>0</v>
      </c>
      <c r="J716" s="41">
        <v>0</v>
      </c>
      <c r="K716" s="41">
        <v>25729</v>
      </c>
      <c r="L716" s="41" t="s">
        <v>1753</v>
      </c>
      <c r="M716" s="41">
        <v>-230</v>
      </c>
    </row>
    <row r="717" spans="1:13" x14ac:dyDescent="0.25">
      <c r="A717" s="40" t="s">
        <v>1730</v>
      </c>
      <c r="B717" s="40" t="s">
        <v>27</v>
      </c>
      <c r="C717" s="40" t="s">
        <v>360</v>
      </c>
      <c r="D717" s="40" t="s">
        <v>1754</v>
      </c>
      <c r="E717" s="40" t="s">
        <v>30</v>
      </c>
      <c r="F717" s="40" t="s">
        <v>1596</v>
      </c>
      <c r="G717" s="41">
        <v>1</v>
      </c>
      <c r="H717" s="41">
        <v>18000</v>
      </c>
      <c r="I717" s="41">
        <v>0</v>
      </c>
      <c r="J717" s="41">
        <v>0</v>
      </c>
      <c r="K717" s="41">
        <v>17969</v>
      </c>
      <c r="L717" s="41" t="s">
        <v>1755</v>
      </c>
      <c r="M717" s="41">
        <v>31</v>
      </c>
    </row>
    <row r="718" spans="1:13" x14ac:dyDescent="0.25">
      <c r="A718" s="40" t="s">
        <v>1730</v>
      </c>
      <c r="B718" s="40" t="s">
        <v>27</v>
      </c>
      <c r="C718" s="40" t="s">
        <v>360</v>
      </c>
      <c r="D718" s="40" t="s">
        <v>1756</v>
      </c>
      <c r="E718" s="40" t="s">
        <v>30</v>
      </c>
      <c r="F718" s="40" t="s">
        <v>1122</v>
      </c>
      <c r="G718" s="41">
        <v>1</v>
      </c>
      <c r="H718" s="41">
        <v>17700</v>
      </c>
      <c r="I718" s="41">
        <v>0</v>
      </c>
      <c r="J718" s="41">
        <v>0</v>
      </c>
      <c r="K718" s="41">
        <v>17023</v>
      </c>
      <c r="L718" s="41" t="s">
        <v>1757</v>
      </c>
      <c r="M718" s="41">
        <v>677</v>
      </c>
    </row>
    <row r="719" spans="1:13" x14ac:dyDescent="0.25">
      <c r="A719" s="40" t="s">
        <v>1730</v>
      </c>
      <c r="B719" s="40" t="s">
        <v>27</v>
      </c>
      <c r="C719" s="40" t="s">
        <v>60</v>
      </c>
      <c r="D719" s="40" t="s">
        <v>1758</v>
      </c>
      <c r="E719" s="40" t="s">
        <v>15</v>
      </c>
      <c r="F719" s="40" t="s">
        <v>1759</v>
      </c>
      <c r="G719" s="41">
        <v>1</v>
      </c>
      <c r="H719" s="41">
        <v>24500</v>
      </c>
      <c r="I719" s="41">
        <v>0</v>
      </c>
      <c r="J719" s="41">
        <v>0</v>
      </c>
      <c r="K719" s="41">
        <v>23990</v>
      </c>
      <c r="L719" s="41" t="s">
        <v>1760</v>
      </c>
      <c r="M719" s="41">
        <v>510</v>
      </c>
    </row>
    <row r="720" spans="1:13" x14ac:dyDescent="0.25">
      <c r="A720" s="40" t="s">
        <v>1730</v>
      </c>
      <c r="B720" s="40" t="s">
        <v>27</v>
      </c>
      <c r="C720" s="40" t="s">
        <v>60</v>
      </c>
      <c r="D720" s="40" t="s">
        <v>1761</v>
      </c>
      <c r="E720" s="40" t="s">
        <v>24</v>
      </c>
      <c r="F720" s="40" t="s">
        <v>1762</v>
      </c>
      <c r="G720" s="41">
        <v>1</v>
      </c>
      <c r="H720" s="41">
        <v>18800</v>
      </c>
      <c r="I720" s="41">
        <v>0</v>
      </c>
      <c r="J720" s="41">
        <v>0</v>
      </c>
      <c r="K720" s="41">
        <v>18320</v>
      </c>
      <c r="L720" s="41" t="s">
        <v>1763</v>
      </c>
      <c r="M720" s="41">
        <v>480</v>
      </c>
    </row>
    <row r="721" spans="1:13" x14ac:dyDescent="0.25">
      <c r="A721" s="40" t="s">
        <v>1764</v>
      </c>
      <c r="B721" s="40" t="s">
        <v>12</v>
      </c>
      <c r="C721" s="40" t="s">
        <v>87</v>
      </c>
      <c r="D721" s="40" t="s">
        <v>1765</v>
      </c>
      <c r="E721" s="40" t="s">
        <v>95</v>
      </c>
      <c r="F721" s="40" t="s">
        <v>1766</v>
      </c>
      <c r="G721" s="41">
        <v>1</v>
      </c>
      <c r="H721" s="41">
        <v>129500</v>
      </c>
      <c r="I721" s="41">
        <v>0</v>
      </c>
      <c r="J721" s="41">
        <v>0</v>
      </c>
      <c r="K721" s="41">
        <v>130826</v>
      </c>
      <c r="L721" s="41" t="s">
        <v>1767</v>
      </c>
      <c r="M721" s="41">
        <v>-1326</v>
      </c>
    </row>
    <row r="722" spans="1:13" x14ac:dyDescent="0.25">
      <c r="A722" s="40" t="s">
        <v>1764</v>
      </c>
      <c r="B722" s="40" t="s">
        <v>12</v>
      </c>
      <c r="C722" s="40" t="s">
        <v>87</v>
      </c>
      <c r="D722" s="40" t="s">
        <v>1768</v>
      </c>
      <c r="E722" s="40" t="s">
        <v>105</v>
      </c>
      <c r="F722" s="40" t="s">
        <v>1769</v>
      </c>
      <c r="G722" s="41">
        <v>1</v>
      </c>
      <c r="H722" s="41">
        <v>34900</v>
      </c>
      <c r="I722" s="41">
        <v>0</v>
      </c>
      <c r="J722" s="41">
        <v>0</v>
      </c>
      <c r="K722" s="41">
        <v>33846</v>
      </c>
      <c r="L722" s="41" t="s">
        <v>1770</v>
      </c>
      <c r="M722" s="41">
        <v>1054</v>
      </c>
    </row>
    <row r="723" spans="1:13" x14ac:dyDescent="0.25">
      <c r="A723" s="40" t="s">
        <v>1764</v>
      </c>
      <c r="B723" s="40" t="s">
        <v>12</v>
      </c>
      <c r="C723" s="40" t="s">
        <v>87</v>
      </c>
      <c r="D723" s="40" t="s">
        <v>1771</v>
      </c>
      <c r="E723" s="40" t="s">
        <v>45</v>
      </c>
      <c r="F723" s="40" t="s">
        <v>484</v>
      </c>
      <c r="G723" s="41">
        <v>1</v>
      </c>
      <c r="H723" s="41">
        <v>80000</v>
      </c>
      <c r="I723" s="41">
        <v>0</v>
      </c>
      <c r="J723" s="41">
        <v>0</v>
      </c>
      <c r="K723" s="41">
        <v>80397</v>
      </c>
      <c r="L723" s="41" t="s">
        <v>1772</v>
      </c>
      <c r="M723" s="41">
        <v>-397</v>
      </c>
    </row>
    <row r="724" spans="1:13" x14ac:dyDescent="0.25">
      <c r="A724" s="40" t="s">
        <v>1764</v>
      </c>
      <c r="B724" s="40" t="s">
        <v>12</v>
      </c>
      <c r="C724" s="40" t="s">
        <v>28</v>
      </c>
      <c r="D724" s="40" t="s">
        <v>1773</v>
      </c>
      <c r="E724" s="40" t="s">
        <v>105</v>
      </c>
      <c r="F724" s="40" t="s">
        <v>222</v>
      </c>
      <c r="G724" s="41">
        <v>1</v>
      </c>
      <c r="H724" s="41">
        <v>14400</v>
      </c>
      <c r="I724" s="41">
        <v>0</v>
      </c>
      <c r="J724" s="41">
        <v>0</v>
      </c>
      <c r="K724" s="41">
        <v>14568</v>
      </c>
      <c r="L724" s="41" t="s">
        <v>1774</v>
      </c>
      <c r="M724" s="41">
        <v>-168</v>
      </c>
    </row>
    <row r="725" spans="1:13" x14ac:dyDescent="0.25">
      <c r="A725" s="40" t="s">
        <v>1764</v>
      </c>
      <c r="B725" s="40" t="s">
        <v>12</v>
      </c>
      <c r="C725" s="40" t="s">
        <v>28</v>
      </c>
      <c r="D725" s="40" t="s">
        <v>1775</v>
      </c>
      <c r="E725" s="40" t="s">
        <v>109</v>
      </c>
      <c r="F725" s="40" t="s">
        <v>222</v>
      </c>
      <c r="G725" s="41">
        <v>1</v>
      </c>
      <c r="H725" s="41">
        <v>14400</v>
      </c>
      <c r="I725" s="41">
        <v>0</v>
      </c>
      <c r="J725" s="41">
        <v>0</v>
      </c>
      <c r="K725" s="41">
        <v>14568</v>
      </c>
      <c r="L725" s="41" t="s">
        <v>1776</v>
      </c>
      <c r="M725" s="41">
        <v>-168</v>
      </c>
    </row>
    <row r="726" spans="1:13" x14ac:dyDescent="0.25">
      <c r="A726" s="40" t="s">
        <v>1764</v>
      </c>
      <c r="B726" s="40" t="s">
        <v>12</v>
      </c>
      <c r="C726" s="40" t="s">
        <v>28</v>
      </c>
      <c r="D726" s="40" t="s">
        <v>1777</v>
      </c>
      <c r="E726" s="40" t="s">
        <v>41</v>
      </c>
      <c r="F726" s="40" t="s">
        <v>35</v>
      </c>
      <c r="G726" s="41">
        <v>1</v>
      </c>
      <c r="H726" s="41">
        <v>15400</v>
      </c>
      <c r="I726" s="41">
        <v>0</v>
      </c>
      <c r="J726" s="41">
        <v>0</v>
      </c>
      <c r="K726" s="41">
        <v>15540</v>
      </c>
      <c r="L726" s="41" t="s">
        <v>1778</v>
      </c>
      <c r="M726" s="41">
        <v>-140</v>
      </c>
    </row>
    <row r="727" spans="1:13" x14ac:dyDescent="0.25">
      <c r="A727" s="40" t="s">
        <v>1764</v>
      </c>
      <c r="B727" s="40" t="s">
        <v>12</v>
      </c>
      <c r="C727" s="40" t="s">
        <v>18</v>
      </c>
      <c r="D727" s="40" t="s">
        <v>1779</v>
      </c>
      <c r="E727" s="40" t="s">
        <v>95</v>
      </c>
      <c r="F727" s="40" t="s">
        <v>1780</v>
      </c>
      <c r="G727" s="41">
        <v>1</v>
      </c>
      <c r="H727" s="41">
        <v>3400</v>
      </c>
      <c r="I727" s="41">
        <v>0</v>
      </c>
      <c r="J727" s="41">
        <v>0</v>
      </c>
      <c r="K727" s="41">
        <v>3324</v>
      </c>
      <c r="L727" s="41" t="s">
        <v>1781</v>
      </c>
      <c r="M727" s="41">
        <v>76</v>
      </c>
    </row>
    <row r="728" spans="1:13" x14ac:dyDescent="0.25">
      <c r="A728" s="40" t="s">
        <v>1764</v>
      </c>
      <c r="B728" s="40" t="s">
        <v>12</v>
      </c>
      <c r="C728" s="40" t="s">
        <v>360</v>
      </c>
      <c r="D728" s="40" t="s">
        <v>1782</v>
      </c>
      <c r="E728" s="40" t="s">
        <v>15</v>
      </c>
      <c r="F728" s="40" t="s">
        <v>545</v>
      </c>
      <c r="G728" s="41">
        <v>1</v>
      </c>
      <c r="H728" s="41">
        <v>20699</v>
      </c>
      <c r="I728" s="41">
        <v>0</v>
      </c>
      <c r="J728" s="41">
        <v>0</v>
      </c>
      <c r="K728" s="41">
        <v>20580</v>
      </c>
      <c r="L728" s="41" t="s">
        <v>1783</v>
      </c>
      <c r="M728" s="41">
        <v>119</v>
      </c>
    </row>
    <row r="729" spans="1:13" x14ac:dyDescent="0.25">
      <c r="A729" s="40" t="s">
        <v>1764</v>
      </c>
      <c r="B729" s="40" t="s">
        <v>12</v>
      </c>
      <c r="C729" s="40" t="s">
        <v>360</v>
      </c>
      <c r="D729" s="40" t="s">
        <v>1784</v>
      </c>
      <c r="E729" s="40" t="s">
        <v>24</v>
      </c>
      <c r="F729" s="40" t="s">
        <v>892</v>
      </c>
      <c r="G729" s="41">
        <v>1</v>
      </c>
      <c r="H729" s="41">
        <v>16300</v>
      </c>
      <c r="I729" s="41">
        <v>0</v>
      </c>
      <c r="J729" s="41">
        <v>0</v>
      </c>
      <c r="K729" s="41">
        <v>16130</v>
      </c>
      <c r="L729" s="41" t="s">
        <v>1785</v>
      </c>
      <c r="M729" s="41">
        <v>170</v>
      </c>
    </row>
    <row r="730" spans="1:13" x14ac:dyDescent="0.25">
      <c r="A730" s="40" t="s">
        <v>1764</v>
      </c>
      <c r="B730" s="40" t="s">
        <v>12</v>
      </c>
      <c r="C730" s="40" t="s">
        <v>50</v>
      </c>
      <c r="D730" s="40" t="s">
        <v>1786</v>
      </c>
      <c r="E730" s="40" t="s">
        <v>15</v>
      </c>
      <c r="F730" s="40" t="s">
        <v>1787</v>
      </c>
      <c r="G730" s="41">
        <v>1</v>
      </c>
      <c r="H730" s="41">
        <v>22999</v>
      </c>
      <c r="I730" s="41">
        <v>0</v>
      </c>
      <c r="J730" s="41">
        <v>0</v>
      </c>
      <c r="K730" s="41">
        <v>24625</v>
      </c>
      <c r="L730" s="41" t="s">
        <v>1788</v>
      </c>
      <c r="M730" s="41">
        <v>-1626</v>
      </c>
    </row>
    <row r="731" spans="1:13" x14ac:dyDescent="0.25">
      <c r="A731" s="40" t="s">
        <v>1764</v>
      </c>
      <c r="B731" s="40" t="s">
        <v>12</v>
      </c>
      <c r="C731" s="40" t="s">
        <v>50</v>
      </c>
      <c r="D731" s="40" t="s">
        <v>1789</v>
      </c>
      <c r="E731" s="40" t="s">
        <v>15</v>
      </c>
      <c r="F731" s="40" t="s">
        <v>784</v>
      </c>
      <c r="G731" s="41">
        <v>1</v>
      </c>
      <c r="H731" s="41">
        <v>27500</v>
      </c>
      <c r="I731" s="41">
        <v>0</v>
      </c>
      <c r="J731" s="41">
        <v>0</v>
      </c>
      <c r="K731" s="41">
        <v>27362</v>
      </c>
      <c r="L731" s="41" t="s">
        <v>1790</v>
      </c>
      <c r="M731" s="41">
        <v>138</v>
      </c>
    </row>
    <row r="732" spans="1:13" x14ac:dyDescent="0.25">
      <c r="A732" s="40" t="s">
        <v>1764</v>
      </c>
      <c r="B732" s="40" t="s">
        <v>12</v>
      </c>
      <c r="C732" s="40" t="s">
        <v>50</v>
      </c>
      <c r="D732" s="40" t="s">
        <v>1791</v>
      </c>
      <c r="E732" s="40" t="s">
        <v>95</v>
      </c>
      <c r="F732" s="40" t="s">
        <v>1792</v>
      </c>
      <c r="G732" s="41">
        <v>1</v>
      </c>
      <c r="H732" s="41">
        <v>16499</v>
      </c>
      <c r="I732" s="41">
        <v>0</v>
      </c>
      <c r="J732" s="41">
        <v>0</v>
      </c>
      <c r="K732" s="41">
        <v>18734</v>
      </c>
      <c r="L732" s="41" t="s">
        <v>1793</v>
      </c>
      <c r="M732" s="41">
        <v>-2235</v>
      </c>
    </row>
    <row r="733" spans="1:13" x14ac:dyDescent="0.25">
      <c r="A733" s="40" t="s">
        <v>1764</v>
      </c>
      <c r="B733" s="40" t="s">
        <v>12</v>
      </c>
      <c r="C733" s="40" t="s">
        <v>50</v>
      </c>
      <c r="D733" s="40" t="s">
        <v>1794</v>
      </c>
      <c r="E733" s="40" t="s">
        <v>135</v>
      </c>
      <c r="F733" s="40" t="s">
        <v>1792</v>
      </c>
      <c r="G733" s="41">
        <v>1</v>
      </c>
      <c r="H733" s="41">
        <v>16499</v>
      </c>
      <c r="I733" s="41">
        <v>0</v>
      </c>
      <c r="J733" s="41">
        <v>0</v>
      </c>
      <c r="K733" s="41">
        <v>18734</v>
      </c>
      <c r="L733" s="41" t="s">
        <v>1795</v>
      </c>
      <c r="M733" s="41">
        <v>-2235</v>
      </c>
    </row>
    <row r="734" spans="1:13" x14ac:dyDescent="0.25">
      <c r="A734" s="40" t="s">
        <v>1764</v>
      </c>
      <c r="B734" s="40" t="s">
        <v>12</v>
      </c>
      <c r="C734" s="40" t="s">
        <v>50</v>
      </c>
      <c r="D734" s="40" t="s">
        <v>1796</v>
      </c>
      <c r="E734" s="40" t="s">
        <v>105</v>
      </c>
      <c r="F734" s="40" t="s">
        <v>818</v>
      </c>
      <c r="G734" s="41">
        <v>1</v>
      </c>
      <c r="H734" s="41">
        <v>9000</v>
      </c>
      <c r="I734" s="41">
        <v>0</v>
      </c>
      <c r="J734" s="41">
        <v>0</v>
      </c>
      <c r="K734" s="41">
        <v>10303</v>
      </c>
      <c r="L734" s="41" t="s">
        <v>1797</v>
      </c>
      <c r="M734" s="41">
        <v>-1303</v>
      </c>
    </row>
    <row r="735" spans="1:13" x14ac:dyDescent="0.25">
      <c r="A735" s="40" t="s">
        <v>1764</v>
      </c>
      <c r="B735" s="40" t="s">
        <v>12</v>
      </c>
      <c r="C735" s="40" t="s">
        <v>50</v>
      </c>
      <c r="D735" s="40" t="s">
        <v>1798</v>
      </c>
      <c r="E735" s="40" t="s">
        <v>109</v>
      </c>
      <c r="F735" s="40" t="s">
        <v>998</v>
      </c>
      <c r="G735" s="41">
        <v>1</v>
      </c>
      <c r="H735" s="41">
        <v>17500</v>
      </c>
      <c r="I735" s="41">
        <v>0</v>
      </c>
      <c r="J735" s="41">
        <v>0</v>
      </c>
      <c r="K735" s="41">
        <v>20246</v>
      </c>
      <c r="L735" s="41" t="s">
        <v>1799</v>
      </c>
      <c r="M735" s="41">
        <v>-2746</v>
      </c>
    </row>
    <row r="736" spans="1:13" x14ac:dyDescent="0.25">
      <c r="A736" s="40" t="s">
        <v>1764</v>
      </c>
      <c r="B736" s="40" t="s">
        <v>12</v>
      </c>
      <c r="C736" s="40" t="s">
        <v>50</v>
      </c>
      <c r="D736" s="40" t="s">
        <v>1800</v>
      </c>
      <c r="E736" s="40" t="s">
        <v>30</v>
      </c>
      <c r="F736" s="40" t="s">
        <v>1792</v>
      </c>
      <c r="G736" s="41">
        <v>1</v>
      </c>
      <c r="H736" s="41">
        <v>16499</v>
      </c>
      <c r="I736" s="41">
        <v>0</v>
      </c>
      <c r="J736" s="41">
        <v>0</v>
      </c>
      <c r="K736" s="41">
        <v>18734</v>
      </c>
      <c r="L736" s="41" t="s">
        <v>1801</v>
      </c>
      <c r="M736" s="41">
        <v>-2235</v>
      </c>
    </row>
    <row r="737" spans="1:13" x14ac:dyDescent="0.25">
      <c r="A737" s="40" t="s">
        <v>1764</v>
      </c>
      <c r="B737" s="40" t="s">
        <v>12</v>
      </c>
      <c r="C737" s="40" t="s">
        <v>50</v>
      </c>
      <c r="D737" s="40" t="s">
        <v>1802</v>
      </c>
      <c r="E737" s="40" t="s">
        <v>30</v>
      </c>
      <c r="F737" s="40" t="s">
        <v>1341</v>
      </c>
      <c r="G737" s="41">
        <v>1</v>
      </c>
      <c r="H737" s="41">
        <v>18999</v>
      </c>
      <c r="I737" s="41">
        <v>0</v>
      </c>
      <c r="J737" s="41">
        <v>0</v>
      </c>
      <c r="K737" s="41">
        <v>20977</v>
      </c>
      <c r="L737" s="41" t="s">
        <v>1803</v>
      </c>
      <c r="M737" s="41">
        <v>-1978</v>
      </c>
    </row>
    <row r="738" spans="1:13" x14ac:dyDescent="0.25">
      <c r="A738" s="40" t="s">
        <v>1764</v>
      </c>
      <c r="B738" s="40" t="s">
        <v>12</v>
      </c>
      <c r="C738" s="40" t="s">
        <v>50</v>
      </c>
      <c r="D738" s="40" t="s">
        <v>1804</v>
      </c>
      <c r="E738" s="40" t="s">
        <v>30</v>
      </c>
      <c r="F738" s="40" t="s">
        <v>1341</v>
      </c>
      <c r="G738" s="41">
        <v>1</v>
      </c>
      <c r="H738" s="41">
        <v>18999</v>
      </c>
      <c r="I738" s="41">
        <v>0</v>
      </c>
      <c r="J738" s="41">
        <v>0</v>
      </c>
      <c r="K738" s="41">
        <v>20977</v>
      </c>
      <c r="L738" s="41" t="s">
        <v>1805</v>
      </c>
      <c r="M738" s="41">
        <v>-1978</v>
      </c>
    </row>
    <row r="739" spans="1:13" x14ac:dyDescent="0.25">
      <c r="A739" s="40" t="s">
        <v>1764</v>
      </c>
      <c r="B739" s="40" t="s">
        <v>12</v>
      </c>
      <c r="C739" s="40" t="s">
        <v>50</v>
      </c>
      <c r="D739" s="40" t="s">
        <v>1806</v>
      </c>
      <c r="E739" s="40" t="s">
        <v>30</v>
      </c>
      <c r="F739" s="40" t="s">
        <v>1341</v>
      </c>
      <c r="G739" s="41">
        <v>1</v>
      </c>
      <c r="H739" s="41">
        <v>18999</v>
      </c>
      <c r="I739" s="41">
        <v>0</v>
      </c>
      <c r="J739" s="41">
        <v>0</v>
      </c>
      <c r="K739" s="41">
        <v>20977</v>
      </c>
      <c r="L739" s="41" t="s">
        <v>1807</v>
      </c>
      <c r="M739" s="41">
        <v>-1978</v>
      </c>
    </row>
    <row r="740" spans="1:13" x14ac:dyDescent="0.25">
      <c r="A740" s="40" t="s">
        <v>1764</v>
      </c>
      <c r="B740" s="40" t="s">
        <v>12</v>
      </c>
      <c r="C740" s="40" t="s">
        <v>50</v>
      </c>
      <c r="D740" s="40" t="s">
        <v>1808</v>
      </c>
      <c r="E740" s="40" t="s">
        <v>34</v>
      </c>
      <c r="F740" s="40" t="s">
        <v>1341</v>
      </c>
      <c r="G740" s="41">
        <v>1</v>
      </c>
      <c r="H740" s="41">
        <v>18999</v>
      </c>
      <c r="I740" s="41">
        <v>0</v>
      </c>
      <c r="J740" s="41">
        <v>0</v>
      </c>
      <c r="K740" s="41">
        <v>20977</v>
      </c>
      <c r="L740" s="41" t="s">
        <v>1809</v>
      </c>
      <c r="M740" s="41">
        <v>-1978</v>
      </c>
    </row>
    <row r="741" spans="1:13" x14ac:dyDescent="0.25">
      <c r="A741" s="40" t="s">
        <v>1764</v>
      </c>
      <c r="B741" s="40" t="s">
        <v>12</v>
      </c>
      <c r="C741" s="40" t="s">
        <v>50</v>
      </c>
      <c r="D741" s="40" t="s">
        <v>1810</v>
      </c>
      <c r="E741" s="40" t="s">
        <v>45</v>
      </c>
      <c r="F741" s="40" t="s">
        <v>1811</v>
      </c>
      <c r="G741" s="41">
        <v>1</v>
      </c>
      <c r="H741" s="41">
        <v>34000</v>
      </c>
      <c r="I741" s="41">
        <v>0</v>
      </c>
      <c r="J741" s="41">
        <v>0</v>
      </c>
      <c r="K741" s="41">
        <v>34658</v>
      </c>
      <c r="L741" s="41" t="s">
        <v>1812</v>
      </c>
      <c r="M741" s="41">
        <v>-658</v>
      </c>
    </row>
    <row r="742" spans="1:13" x14ac:dyDescent="0.25">
      <c r="A742" s="40" t="s">
        <v>1764</v>
      </c>
      <c r="B742" s="40" t="s">
        <v>12</v>
      </c>
      <c r="C742" s="40" t="s">
        <v>114</v>
      </c>
      <c r="D742" s="40" t="s">
        <v>1813</v>
      </c>
      <c r="E742" s="40" t="s">
        <v>15</v>
      </c>
      <c r="F742" s="40" t="s">
        <v>1279</v>
      </c>
      <c r="G742" s="41">
        <v>1</v>
      </c>
      <c r="H742" s="41">
        <v>42500</v>
      </c>
      <c r="I742" s="41">
        <v>0</v>
      </c>
      <c r="J742" s="41">
        <v>0</v>
      </c>
      <c r="K742" s="41">
        <v>42564</v>
      </c>
      <c r="L742" s="41" t="s">
        <v>1814</v>
      </c>
      <c r="M742" s="41">
        <v>-64</v>
      </c>
    </row>
    <row r="743" spans="1:13" x14ac:dyDescent="0.25">
      <c r="A743" s="40" t="s">
        <v>1764</v>
      </c>
      <c r="B743" s="40" t="s">
        <v>12</v>
      </c>
      <c r="C743" s="40" t="s">
        <v>114</v>
      </c>
      <c r="D743" s="40" t="s">
        <v>1815</v>
      </c>
      <c r="E743" s="40" t="s">
        <v>95</v>
      </c>
      <c r="F743" s="40" t="s">
        <v>116</v>
      </c>
      <c r="G743" s="41">
        <v>1</v>
      </c>
      <c r="H743" s="41">
        <v>17200</v>
      </c>
      <c r="I743" s="41">
        <v>0</v>
      </c>
      <c r="J743" s="41">
        <v>0</v>
      </c>
      <c r="K743" s="41">
        <v>17834</v>
      </c>
      <c r="L743" s="41" t="s">
        <v>1816</v>
      </c>
      <c r="M743" s="41">
        <v>-634</v>
      </c>
    </row>
    <row r="744" spans="1:13" x14ac:dyDescent="0.25">
      <c r="A744" s="40" t="s">
        <v>1764</v>
      </c>
      <c r="B744" s="40" t="s">
        <v>12</v>
      </c>
      <c r="C744" s="40" t="s">
        <v>114</v>
      </c>
      <c r="D744" s="40" t="s">
        <v>1817</v>
      </c>
      <c r="E744" s="40" t="s">
        <v>95</v>
      </c>
      <c r="F744" s="40" t="s">
        <v>170</v>
      </c>
      <c r="G744" s="41">
        <v>1</v>
      </c>
      <c r="H744" s="41">
        <v>18500</v>
      </c>
      <c r="I744" s="41">
        <v>0</v>
      </c>
      <c r="J744" s="41">
        <v>0</v>
      </c>
      <c r="K744" s="41">
        <v>18502</v>
      </c>
      <c r="L744" s="41" t="s">
        <v>1818</v>
      </c>
      <c r="M744" s="41">
        <v>-2</v>
      </c>
    </row>
    <row r="745" spans="1:13" x14ac:dyDescent="0.25">
      <c r="A745" s="40" t="s">
        <v>1764</v>
      </c>
      <c r="B745" s="40" t="s">
        <v>12</v>
      </c>
      <c r="C745" s="40" t="s">
        <v>114</v>
      </c>
      <c r="D745" s="40" t="s">
        <v>1819</v>
      </c>
      <c r="E745" s="40" t="s">
        <v>45</v>
      </c>
      <c r="F745" s="40" t="s">
        <v>1820</v>
      </c>
      <c r="G745" s="41">
        <v>1</v>
      </c>
      <c r="H745" s="41">
        <v>80000</v>
      </c>
      <c r="I745" s="41">
        <v>0</v>
      </c>
      <c r="J745" s="41">
        <v>0</v>
      </c>
      <c r="K745" s="41">
        <v>82751.31</v>
      </c>
      <c r="L745" s="41" t="s">
        <v>1821</v>
      </c>
      <c r="M745" s="41">
        <v>-2751.31</v>
      </c>
    </row>
    <row r="746" spans="1:13" x14ac:dyDescent="0.25">
      <c r="A746" s="40" t="s">
        <v>1764</v>
      </c>
      <c r="B746" s="40" t="s">
        <v>12</v>
      </c>
      <c r="C746" s="40" t="s">
        <v>114</v>
      </c>
      <c r="D746" s="40" t="s">
        <v>1822</v>
      </c>
      <c r="E746" s="40" t="s">
        <v>45</v>
      </c>
      <c r="F746" s="40" t="s">
        <v>469</v>
      </c>
      <c r="G746" s="41">
        <v>1</v>
      </c>
      <c r="H746" s="41">
        <v>9800</v>
      </c>
      <c r="I746" s="41">
        <v>0</v>
      </c>
      <c r="J746" s="41">
        <v>0</v>
      </c>
      <c r="K746" s="41">
        <v>10324</v>
      </c>
      <c r="L746" s="41" t="s">
        <v>1823</v>
      </c>
      <c r="M746" s="41">
        <v>-524</v>
      </c>
    </row>
    <row r="747" spans="1:13" x14ac:dyDescent="0.25">
      <c r="A747" s="40" t="s">
        <v>1764</v>
      </c>
      <c r="B747" s="40" t="s">
        <v>12</v>
      </c>
      <c r="C747" s="40" t="s">
        <v>56</v>
      </c>
      <c r="D747" s="40" t="s">
        <v>1824</v>
      </c>
      <c r="E747" s="40" t="s">
        <v>24</v>
      </c>
      <c r="F747" s="40" t="s">
        <v>472</v>
      </c>
      <c r="G747" s="41">
        <v>1</v>
      </c>
      <c r="H747" s="41">
        <v>8620</v>
      </c>
      <c r="I747" s="41">
        <v>0</v>
      </c>
      <c r="J747" s="41">
        <v>0</v>
      </c>
      <c r="K747" s="41">
        <v>8570</v>
      </c>
      <c r="L747" s="41" t="s">
        <v>473</v>
      </c>
      <c r="M747" s="41">
        <v>50</v>
      </c>
    </row>
    <row r="748" spans="1:13" x14ac:dyDescent="0.25">
      <c r="A748" s="40" t="s">
        <v>1764</v>
      </c>
      <c r="B748" s="40" t="s">
        <v>12</v>
      </c>
      <c r="C748" s="40" t="s">
        <v>56</v>
      </c>
      <c r="D748" s="40" t="s">
        <v>1825</v>
      </c>
      <c r="E748" s="40" t="s">
        <v>95</v>
      </c>
      <c r="F748" s="40" t="s">
        <v>1826</v>
      </c>
      <c r="G748" s="41">
        <v>1</v>
      </c>
      <c r="H748" s="41">
        <v>8200</v>
      </c>
      <c r="I748" s="41">
        <v>0</v>
      </c>
      <c r="J748" s="41">
        <v>0</v>
      </c>
      <c r="K748" s="41">
        <v>9051</v>
      </c>
      <c r="L748" s="41" t="s">
        <v>1827</v>
      </c>
      <c r="M748" s="41">
        <v>-851</v>
      </c>
    </row>
    <row r="749" spans="1:13" x14ac:dyDescent="0.25">
      <c r="A749" s="40" t="s">
        <v>1764</v>
      </c>
      <c r="B749" s="40" t="s">
        <v>12</v>
      </c>
      <c r="C749" s="40" t="s">
        <v>56</v>
      </c>
      <c r="D749" s="40" t="s">
        <v>1825</v>
      </c>
      <c r="E749" s="40" t="s">
        <v>95</v>
      </c>
      <c r="F749" s="40" t="s">
        <v>1826</v>
      </c>
      <c r="G749" s="41">
        <v>1</v>
      </c>
      <c r="H749" s="41">
        <v>8200</v>
      </c>
      <c r="I749" s="41">
        <v>0</v>
      </c>
      <c r="J749" s="41">
        <v>0</v>
      </c>
      <c r="K749" s="41">
        <v>9051</v>
      </c>
      <c r="L749" s="41" t="s">
        <v>1828</v>
      </c>
      <c r="M749" s="41">
        <v>-851</v>
      </c>
    </row>
    <row r="750" spans="1:13" x14ac:dyDescent="0.25">
      <c r="A750" s="40" t="s">
        <v>1764</v>
      </c>
      <c r="B750" s="40" t="s">
        <v>12</v>
      </c>
      <c r="C750" s="40" t="s">
        <v>56</v>
      </c>
      <c r="D750" s="40" t="s">
        <v>1825</v>
      </c>
      <c r="E750" s="40" t="s">
        <v>95</v>
      </c>
      <c r="F750" s="40" t="s">
        <v>1829</v>
      </c>
      <c r="G750" s="41">
        <v>1</v>
      </c>
      <c r="H750" s="41">
        <v>8200</v>
      </c>
      <c r="I750" s="41">
        <v>0</v>
      </c>
      <c r="J750" s="41">
        <v>0</v>
      </c>
      <c r="K750" s="41">
        <v>9051</v>
      </c>
      <c r="L750" s="41" t="s">
        <v>1830</v>
      </c>
      <c r="M750" s="41">
        <v>-851</v>
      </c>
    </row>
    <row r="751" spans="1:13" x14ac:dyDescent="0.25">
      <c r="A751" s="40" t="s">
        <v>1764</v>
      </c>
      <c r="B751" s="40" t="s">
        <v>12</v>
      </c>
      <c r="C751" s="40" t="s">
        <v>56</v>
      </c>
      <c r="D751" s="40" t="s">
        <v>1825</v>
      </c>
      <c r="E751" s="40" t="s">
        <v>95</v>
      </c>
      <c r="F751" s="40" t="s">
        <v>1829</v>
      </c>
      <c r="G751" s="41">
        <v>1</v>
      </c>
      <c r="H751" s="41">
        <v>8200</v>
      </c>
      <c r="I751" s="41">
        <v>0</v>
      </c>
      <c r="J751" s="41">
        <v>0</v>
      </c>
      <c r="K751" s="41">
        <v>9051</v>
      </c>
      <c r="L751" s="41" t="s">
        <v>1831</v>
      </c>
      <c r="M751" s="41">
        <v>-851</v>
      </c>
    </row>
    <row r="752" spans="1:13" x14ac:dyDescent="0.25">
      <c r="A752" s="40" t="s">
        <v>1764</v>
      </c>
      <c r="B752" s="40" t="s">
        <v>12</v>
      </c>
      <c r="C752" s="40" t="s">
        <v>56</v>
      </c>
      <c r="D752" s="40" t="s">
        <v>1825</v>
      </c>
      <c r="E752" s="40" t="s">
        <v>95</v>
      </c>
      <c r="F752" s="40" t="s">
        <v>1832</v>
      </c>
      <c r="G752" s="41">
        <v>1</v>
      </c>
      <c r="H752" s="41">
        <v>8200</v>
      </c>
      <c r="I752" s="41">
        <v>0</v>
      </c>
      <c r="J752" s="41">
        <v>0</v>
      </c>
      <c r="K752" s="41">
        <v>9051</v>
      </c>
      <c r="L752" s="41" t="s">
        <v>1833</v>
      </c>
      <c r="M752" s="41">
        <v>-851</v>
      </c>
    </row>
    <row r="753" spans="1:13" x14ac:dyDescent="0.25">
      <c r="A753" s="40" t="s">
        <v>1764</v>
      </c>
      <c r="B753" s="40" t="s">
        <v>12</v>
      </c>
      <c r="C753" s="40" t="s">
        <v>60</v>
      </c>
      <c r="D753" s="40" t="s">
        <v>1834</v>
      </c>
      <c r="E753" s="40" t="s">
        <v>24</v>
      </c>
      <c r="F753" s="40" t="s">
        <v>1408</v>
      </c>
      <c r="G753" s="41">
        <v>1</v>
      </c>
      <c r="H753" s="41">
        <v>68000</v>
      </c>
      <c r="I753" s="41">
        <v>0</v>
      </c>
      <c r="J753" s="41">
        <v>0</v>
      </c>
      <c r="K753" s="41">
        <v>69202</v>
      </c>
      <c r="L753" s="41" t="s">
        <v>1835</v>
      </c>
      <c r="M753" s="41">
        <v>-1202</v>
      </c>
    </row>
    <row r="754" spans="1:13" x14ac:dyDescent="0.25">
      <c r="A754" s="40" t="s">
        <v>1764</v>
      </c>
      <c r="B754" s="40" t="s">
        <v>12</v>
      </c>
      <c r="C754" s="40" t="s">
        <v>60</v>
      </c>
      <c r="D754" s="40" t="s">
        <v>1836</v>
      </c>
      <c r="E754" s="40" t="s">
        <v>24</v>
      </c>
      <c r="F754" s="40" t="s">
        <v>1837</v>
      </c>
      <c r="G754" s="41">
        <v>1</v>
      </c>
      <c r="H754" s="41">
        <v>29000</v>
      </c>
      <c r="I754" s="41">
        <v>0</v>
      </c>
      <c r="J754" s="41">
        <v>0</v>
      </c>
      <c r="K754" s="41">
        <v>29585</v>
      </c>
      <c r="L754" s="41" t="s">
        <v>1838</v>
      </c>
      <c r="M754" s="41">
        <v>-585</v>
      </c>
    </row>
    <row r="755" spans="1:13" x14ac:dyDescent="0.25">
      <c r="A755" s="40" t="s">
        <v>1764</v>
      </c>
      <c r="B755" s="40" t="s">
        <v>12</v>
      </c>
      <c r="C755" s="40" t="s">
        <v>60</v>
      </c>
      <c r="D755" s="40" t="s">
        <v>1839</v>
      </c>
      <c r="E755" s="40" t="s">
        <v>135</v>
      </c>
      <c r="F755" s="40" t="s">
        <v>286</v>
      </c>
      <c r="G755" s="41">
        <v>1</v>
      </c>
      <c r="H755" s="41">
        <v>50999</v>
      </c>
      <c r="I755" s="41">
        <v>0</v>
      </c>
      <c r="J755" s="41">
        <v>0</v>
      </c>
      <c r="K755" s="41">
        <v>52279</v>
      </c>
      <c r="L755" s="41" t="s">
        <v>1840</v>
      </c>
      <c r="M755" s="41">
        <v>-1280</v>
      </c>
    </row>
    <row r="756" spans="1:13" x14ac:dyDescent="0.25">
      <c r="A756" s="40" t="s">
        <v>1764</v>
      </c>
      <c r="B756" s="40" t="s">
        <v>12</v>
      </c>
      <c r="C756" s="40" t="s">
        <v>60</v>
      </c>
      <c r="D756" s="40" t="s">
        <v>1841</v>
      </c>
      <c r="E756" s="40" t="s">
        <v>41</v>
      </c>
      <c r="F756" s="40" t="s">
        <v>1842</v>
      </c>
      <c r="G756" s="41">
        <v>1</v>
      </c>
      <c r="H756" s="41">
        <v>98000</v>
      </c>
      <c r="I756" s="41">
        <v>0</v>
      </c>
      <c r="J756" s="41">
        <v>0</v>
      </c>
      <c r="K756" s="41">
        <v>100180</v>
      </c>
      <c r="L756" s="41" t="s">
        <v>1843</v>
      </c>
      <c r="M756" s="41">
        <v>-2180</v>
      </c>
    </row>
    <row r="757" spans="1:13" x14ac:dyDescent="0.25">
      <c r="A757" s="40" t="s">
        <v>1764</v>
      </c>
      <c r="B757" s="40" t="s">
        <v>12</v>
      </c>
      <c r="C757" s="40" t="s">
        <v>60</v>
      </c>
      <c r="D757" s="40" t="s">
        <v>1844</v>
      </c>
      <c r="E757" s="40" t="s">
        <v>41</v>
      </c>
      <c r="F757" s="40" t="s">
        <v>74</v>
      </c>
      <c r="G757" s="41">
        <v>1</v>
      </c>
      <c r="H757" s="41">
        <v>13700</v>
      </c>
      <c r="I757" s="41">
        <v>0</v>
      </c>
      <c r="J757" s="41">
        <v>0</v>
      </c>
      <c r="K757" s="41">
        <v>14010</v>
      </c>
      <c r="L757" s="41" t="s">
        <v>1845</v>
      </c>
      <c r="M757" s="41">
        <v>-310</v>
      </c>
    </row>
    <row r="758" spans="1:13" x14ac:dyDescent="0.25">
      <c r="A758" s="40" t="s">
        <v>1764</v>
      </c>
      <c r="B758" s="40" t="s">
        <v>12</v>
      </c>
      <c r="C758" s="40" t="s">
        <v>60</v>
      </c>
      <c r="D758" s="40" t="s">
        <v>1846</v>
      </c>
      <c r="E758" s="40" t="s">
        <v>45</v>
      </c>
      <c r="F758" s="40" t="s">
        <v>856</v>
      </c>
      <c r="G758" s="41">
        <v>1</v>
      </c>
      <c r="H758" s="41">
        <v>18800</v>
      </c>
      <c r="I758" s="41">
        <v>0</v>
      </c>
      <c r="J758" s="41">
        <v>0</v>
      </c>
      <c r="K758" s="41">
        <v>19370</v>
      </c>
      <c r="L758" s="41" t="s">
        <v>1847</v>
      </c>
      <c r="M758" s="41">
        <v>-570</v>
      </c>
    </row>
    <row r="759" spans="1:13" x14ac:dyDescent="0.25">
      <c r="A759" s="40" t="s">
        <v>1764</v>
      </c>
      <c r="B759" s="40" t="s">
        <v>12</v>
      </c>
      <c r="C759" s="40" t="s">
        <v>82</v>
      </c>
      <c r="D759" s="40" t="s">
        <v>1848</v>
      </c>
      <c r="E759" s="40" t="s">
        <v>45</v>
      </c>
      <c r="F759" s="40" t="s">
        <v>1849</v>
      </c>
      <c r="G759" s="41">
        <v>1</v>
      </c>
      <c r="H759" s="41">
        <v>27300</v>
      </c>
      <c r="I759" s="41">
        <v>0</v>
      </c>
      <c r="J759" s="41">
        <v>0</v>
      </c>
      <c r="K759" s="41">
        <v>27521</v>
      </c>
      <c r="L759" s="41" t="s">
        <v>1850</v>
      </c>
      <c r="M759" s="41">
        <v>-221</v>
      </c>
    </row>
    <row r="760" spans="1:13" x14ac:dyDescent="0.25">
      <c r="A760" s="40" t="s">
        <v>1764</v>
      </c>
      <c r="B760" s="40" t="s">
        <v>27</v>
      </c>
      <c r="C760" s="40" t="s">
        <v>609</v>
      </c>
      <c r="D760" s="40" t="s">
        <v>1851</v>
      </c>
      <c r="E760" s="40" t="s">
        <v>105</v>
      </c>
      <c r="F760" s="40" t="s">
        <v>1852</v>
      </c>
      <c r="G760" s="41">
        <v>1</v>
      </c>
      <c r="H760" s="41">
        <v>7800</v>
      </c>
      <c r="I760" s="41">
        <v>0</v>
      </c>
      <c r="J760" s="41">
        <v>0</v>
      </c>
      <c r="K760" s="41">
        <v>8049</v>
      </c>
      <c r="L760" s="41" t="s">
        <v>1853</v>
      </c>
      <c r="M760" s="41">
        <v>-249</v>
      </c>
    </row>
    <row r="761" spans="1:13" x14ac:dyDescent="0.25">
      <c r="A761" s="40" t="s">
        <v>1764</v>
      </c>
      <c r="B761" s="40" t="s">
        <v>27</v>
      </c>
      <c r="C761" s="40" t="s">
        <v>28</v>
      </c>
      <c r="D761" s="40" t="s">
        <v>1854</v>
      </c>
      <c r="E761" s="40" t="s">
        <v>95</v>
      </c>
      <c r="F761" s="40" t="s">
        <v>38</v>
      </c>
      <c r="G761" s="41">
        <v>1</v>
      </c>
      <c r="H761" s="41">
        <v>11400</v>
      </c>
      <c r="I761" s="41">
        <v>0</v>
      </c>
      <c r="J761" s="41">
        <v>0</v>
      </c>
      <c r="K761" s="41">
        <v>11654</v>
      </c>
      <c r="L761" s="41" t="s">
        <v>1855</v>
      </c>
      <c r="M761" s="41">
        <v>-254</v>
      </c>
    </row>
    <row r="762" spans="1:13" x14ac:dyDescent="0.25">
      <c r="A762" s="40" t="s">
        <v>1764</v>
      </c>
      <c r="B762" s="40" t="s">
        <v>27</v>
      </c>
      <c r="C762" s="40" t="s">
        <v>28</v>
      </c>
      <c r="D762" s="40" t="s">
        <v>1856</v>
      </c>
      <c r="E762" s="40" t="s">
        <v>30</v>
      </c>
      <c r="F762" s="40" t="s">
        <v>38</v>
      </c>
      <c r="G762" s="41">
        <v>1</v>
      </c>
      <c r="H762" s="41">
        <v>11800</v>
      </c>
      <c r="I762" s="41">
        <v>0</v>
      </c>
      <c r="J762" s="41">
        <v>0</v>
      </c>
      <c r="K762" s="41">
        <v>12140</v>
      </c>
      <c r="L762" s="41" t="s">
        <v>1857</v>
      </c>
      <c r="M762" s="41">
        <v>-340</v>
      </c>
    </row>
    <row r="763" spans="1:13" x14ac:dyDescent="0.25">
      <c r="A763" s="40" t="s">
        <v>1764</v>
      </c>
      <c r="B763" s="40" t="s">
        <v>27</v>
      </c>
      <c r="C763" s="40" t="s">
        <v>360</v>
      </c>
      <c r="D763" s="40" t="s">
        <v>1858</v>
      </c>
      <c r="E763" s="40" t="s">
        <v>24</v>
      </c>
      <c r="F763" s="40" t="s">
        <v>895</v>
      </c>
      <c r="G763" s="41">
        <v>1</v>
      </c>
      <c r="H763" s="41">
        <v>15600</v>
      </c>
      <c r="I763" s="41">
        <v>0</v>
      </c>
      <c r="J763" s="41">
        <v>0</v>
      </c>
      <c r="K763" s="41">
        <v>16130</v>
      </c>
      <c r="L763" s="41" t="s">
        <v>1859</v>
      </c>
      <c r="M763" s="41">
        <v>-530</v>
      </c>
    </row>
    <row r="764" spans="1:13" x14ac:dyDescent="0.25">
      <c r="A764" s="40" t="s">
        <v>1764</v>
      </c>
      <c r="B764" s="40" t="s">
        <v>27</v>
      </c>
      <c r="C764" s="40" t="s">
        <v>360</v>
      </c>
      <c r="D764" s="40" t="s">
        <v>1860</v>
      </c>
      <c r="E764" s="40" t="s">
        <v>34</v>
      </c>
      <c r="F764" s="40" t="s">
        <v>740</v>
      </c>
      <c r="G764" s="41">
        <v>1</v>
      </c>
      <c r="H764" s="41">
        <v>26000</v>
      </c>
      <c r="I764" s="41">
        <v>0</v>
      </c>
      <c r="J764" s="41">
        <v>0</v>
      </c>
      <c r="K764" s="41">
        <v>26649</v>
      </c>
      <c r="L764" s="41" t="s">
        <v>1861</v>
      </c>
      <c r="M764" s="41">
        <v>-649</v>
      </c>
    </row>
    <row r="765" spans="1:13" x14ac:dyDescent="0.25">
      <c r="A765" s="40" t="s">
        <v>1764</v>
      </c>
      <c r="B765" s="40" t="s">
        <v>27</v>
      </c>
      <c r="C765" s="40" t="s">
        <v>50</v>
      </c>
      <c r="D765" s="40" t="s">
        <v>1862</v>
      </c>
      <c r="E765" s="40" t="s">
        <v>24</v>
      </c>
      <c r="F765" s="40" t="s">
        <v>1863</v>
      </c>
      <c r="G765" s="41">
        <v>1</v>
      </c>
      <c r="H765" s="41">
        <v>15000</v>
      </c>
      <c r="I765" s="41">
        <v>0</v>
      </c>
      <c r="J765" s="41">
        <v>0</v>
      </c>
      <c r="K765" s="41">
        <v>12512</v>
      </c>
      <c r="L765" s="41" t="s">
        <v>1864</v>
      </c>
      <c r="M765" s="41">
        <v>2488</v>
      </c>
    </row>
    <row r="766" spans="1:13" x14ac:dyDescent="0.25">
      <c r="A766" s="40" t="s">
        <v>1764</v>
      </c>
      <c r="B766" s="40" t="s">
        <v>27</v>
      </c>
      <c r="C766" s="40" t="s">
        <v>50</v>
      </c>
      <c r="D766" s="40" t="s">
        <v>1865</v>
      </c>
      <c r="E766" s="40" t="s">
        <v>135</v>
      </c>
      <c r="F766" s="40" t="s">
        <v>1866</v>
      </c>
      <c r="G766" s="41">
        <v>1</v>
      </c>
      <c r="H766" s="41">
        <v>37500</v>
      </c>
      <c r="I766" s="41">
        <v>0</v>
      </c>
      <c r="J766" s="41">
        <v>0</v>
      </c>
      <c r="K766" s="41">
        <v>36975</v>
      </c>
      <c r="L766" s="41" t="s">
        <v>1867</v>
      </c>
      <c r="M766" s="41">
        <v>525</v>
      </c>
    </row>
    <row r="767" spans="1:13" x14ac:dyDescent="0.25">
      <c r="A767" s="40" t="s">
        <v>1764</v>
      </c>
      <c r="B767" s="40" t="s">
        <v>27</v>
      </c>
      <c r="C767" s="40" t="s">
        <v>50</v>
      </c>
      <c r="D767" s="40" t="s">
        <v>1868</v>
      </c>
      <c r="E767" s="40" t="s">
        <v>162</v>
      </c>
      <c r="F767" s="40" t="s">
        <v>569</v>
      </c>
      <c r="G767" s="41">
        <v>1</v>
      </c>
      <c r="H767" s="41">
        <v>15000</v>
      </c>
      <c r="I767" s="41">
        <v>0</v>
      </c>
      <c r="J767" s="41">
        <v>0</v>
      </c>
      <c r="K767" s="41">
        <v>14175</v>
      </c>
      <c r="L767" s="41" t="s">
        <v>1869</v>
      </c>
      <c r="M767" s="41">
        <v>825</v>
      </c>
    </row>
    <row r="768" spans="1:13" x14ac:dyDescent="0.25">
      <c r="A768" s="40" t="s">
        <v>1764</v>
      </c>
      <c r="B768" s="40" t="s">
        <v>27</v>
      </c>
      <c r="C768" s="40" t="s">
        <v>50</v>
      </c>
      <c r="D768" s="40" t="s">
        <v>1870</v>
      </c>
      <c r="E768" s="40" t="s">
        <v>162</v>
      </c>
      <c r="F768" s="40" t="s">
        <v>813</v>
      </c>
      <c r="G768" s="41">
        <v>1</v>
      </c>
      <c r="H768" s="41">
        <v>14800</v>
      </c>
      <c r="I768" s="41">
        <v>0</v>
      </c>
      <c r="J768" s="41">
        <v>0</v>
      </c>
      <c r="K768" s="41">
        <v>14175</v>
      </c>
      <c r="L768" s="41" t="s">
        <v>1871</v>
      </c>
      <c r="M768" s="41">
        <v>625</v>
      </c>
    </row>
    <row r="769" spans="1:13" x14ac:dyDescent="0.25">
      <c r="A769" s="40" t="s">
        <v>1764</v>
      </c>
      <c r="B769" s="40" t="s">
        <v>27</v>
      </c>
      <c r="C769" s="40" t="s">
        <v>50</v>
      </c>
      <c r="D769" s="40" t="s">
        <v>1872</v>
      </c>
      <c r="E769" s="40" t="s">
        <v>30</v>
      </c>
      <c r="F769" s="40" t="s">
        <v>569</v>
      </c>
      <c r="G769" s="41">
        <v>1</v>
      </c>
      <c r="H769" s="41">
        <v>14000</v>
      </c>
      <c r="I769" s="41">
        <v>0</v>
      </c>
      <c r="J769" s="41">
        <v>0</v>
      </c>
      <c r="K769" s="41">
        <v>14175</v>
      </c>
      <c r="L769" s="41" t="s">
        <v>1873</v>
      </c>
      <c r="M769" s="41">
        <v>-175</v>
      </c>
    </row>
    <row r="770" spans="1:13" x14ac:dyDescent="0.25">
      <c r="A770" s="40" t="s">
        <v>1764</v>
      </c>
      <c r="B770" s="40" t="s">
        <v>27</v>
      </c>
      <c r="C770" s="40" t="s">
        <v>50</v>
      </c>
      <c r="D770" s="40" t="s">
        <v>1874</v>
      </c>
      <c r="E770" s="40" t="s">
        <v>41</v>
      </c>
      <c r="F770" s="40" t="s">
        <v>813</v>
      </c>
      <c r="G770" s="41">
        <v>1</v>
      </c>
      <c r="H770" s="41">
        <v>13700</v>
      </c>
      <c r="I770" s="41">
        <v>0</v>
      </c>
      <c r="J770" s="41">
        <v>0</v>
      </c>
      <c r="K770" s="41">
        <v>14175</v>
      </c>
      <c r="L770" s="41" t="s">
        <v>1875</v>
      </c>
      <c r="M770" s="41">
        <v>-475</v>
      </c>
    </row>
    <row r="771" spans="1:13" x14ac:dyDescent="0.25">
      <c r="A771" s="40" t="s">
        <v>1764</v>
      </c>
      <c r="B771" s="40" t="s">
        <v>27</v>
      </c>
      <c r="C771" s="40" t="s">
        <v>50</v>
      </c>
      <c r="D771" s="40" t="s">
        <v>1876</v>
      </c>
      <c r="E771" s="40" t="s">
        <v>45</v>
      </c>
      <c r="F771" s="40" t="s">
        <v>991</v>
      </c>
      <c r="G771" s="41">
        <v>1</v>
      </c>
      <c r="H771" s="41">
        <v>30500</v>
      </c>
      <c r="I771" s="41">
        <v>0</v>
      </c>
      <c r="J771" s="41">
        <v>0</v>
      </c>
      <c r="K771" s="41">
        <v>31010</v>
      </c>
      <c r="L771" s="41" t="s">
        <v>1877</v>
      </c>
      <c r="M771" s="41">
        <v>-510</v>
      </c>
    </row>
    <row r="772" spans="1:13" x14ac:dyDescent="0.25">
      <c r="A772" s="40" t="s">
        <v>1764</v>
      </c>
      <c r="B772" s="40" t="s">
        <v>27</v>
      </c>
      <c r="C772" s="40" t="s">
        <v>114</v>
      </c>
      <c r="D772" s="40" t="s">
        <v>1878</v>
      </c>
      <c r="E772" s="40" t="s">
        <v>95</v>
      </c>
      <c r="F772" s="40" t="s">
        <v>1879</v>
      </c>
      <c r="G772" s="41">
        <v>1</v>
      </c>
      <c r="H772" s="41">
        <v>109000</v>
      </c>
      <c r="I772" s="41">
        <v>0</v>
      </c>
      <c r="J772" s="41">
        <v>0</v>
      </c>
      <c r="K772" s="41">
        <v>113189</v>
      </c>
      <c r="L772" s="41" t="s">
        <v>1880</v>
      </c>
      <c r="M772" s="41">
        <v>-4189</v>
      </c>
    </row>
    <row r="773" spans="1:13" x14ac:dyDescent="0.25">
      <c r="A773" s="40" t="s">
        <v>1764</v>
      </c>
      <c r="B773" s="40" t="s">
        <v>27</v>
      </c>
      <c r="C773" s="40" t="s">
        <v>114</v>
      </c>
      <c r="D773" s="40" t="s">
        <v>1881</v>
      </c>
      <c r="E773" s="40" t="s">
        <v>135</v>
      </c>
      <c r="F773" s="40" t="s">
        <v>1882</v>
      </c>
      <c r="G773" s="41">
        <v>1</v>
      </c>
      <c r="H773" s="41">
        <v>22000</v>
      </c>
      <c r="I773" s="41">
        <v>0</v>
      </c>
      <c r="J773" s="41">
        <v>0</v>
      </c>
      <c r="K773" s="41">
        <v>22782</v>
      </c>
      <c r="L773" s="41" t="s">
        <v>1883</v>
      </c>
      <c r="M773" s="41">
        <v>-782</v>
      </c>
    </row>
    <row r="774" spans="1:13" x14ac:dyDescent="0.25">
      <c r="A774" s="40" t="s">
        <v>1764</v>
      </c>
      <c r="B774" s="40" t="s">
        <v>27</v>
      </c>
      <c r="C774" s="40" t="s">
        <v>114</v>
      </c>
      <c r="D774" s="40" t="s">
        <v>1884</v>
      </c>
      <c r="E774" s="40" t="s">
        <v>109</v>
      </c>
      <c r="F774" s="40" t="s">
        <v>170</v>
      </c>
      <c r="G774" s="41">
        <v>1</v>
      </c>
      <c r="H774" s="41">
        <v>18000</v>
      </c>
      <c r="I774" s="41">
        <v>0</v>
      </c>
      <c r="J774" s="41">
        <v>0</v>
      </c>
      <c r="K774" s="41">
        <v>18502</v>
      </c>
      <c r="L774" s="41" t="s">
        <v>1885</v>
      </c>
      <c r="M774" s="41">
        <v>-502</v>
      </c>
    </row>
    <row r="775" spans="1:13" x14ac:dyDescent="0.25">
      <c r="A775" s="40" t="s">
        <v>1764</v>
      </c>
      <c r="B775" s="40" t="s">
        <v>27</v>
      </c>
      <c r="C775" s="40" t="s">
        <v>114</v>
      </c>
      <c r="D775" s="40" t="s">
        <v>1886</v>
      </c>
      <c r="E775" s="40" t="s">
        <v>30</v>
      </c>
      <c r="F775" s="40" t="s">
        <v>1887</v>
      </c>
      <c r="G775" s="41">
        <v>1</v>
      </c>
      <c r="H775" s="41">
        <v>32500</v>
      </c>
      <c r="I775" s="41">
        <v>0</v>
      </c>
      <c r="J775" s="41">
        <v>0</v>
      </c>
      <c r="K775" s="41">
        <v>32942</v>
      </c>
      <c r="L775" s="41" t="s">
        <v>1888</v>
      </c>
      <c r="M775" s="41">
        <v>-442</v>
      </c>
    </row>
    <row r="776" spans="1:13" x14ac:dyDescent="0.25">
      <c r="A776" s="40" t="s">
        <v>1764</v>
      </c>
      <c r="B776" s="40" t="s">
        <v>27</v>
      </c>
      <c r="C776" s="40" t="s">
        <v>114</v>
      </c>
      <c r="D776" s="40" t="s">
        <v>1889</v>
      </c>
      <c r="E776" s="40" t="s">
        <v>41</v>
      </c>
      <c r="F776" s="40" t="s">
        <v>192</v>
      </c>
      <c r="G776" s="41">
        <v>1</v>
      </c>
      <c r="H776" s="41">
        <v>19500</v>
      </c>
      <c r="I776" s="41">
        <v>0</v>
      </c>
      <c r="J776" s="41">
        <v>0</v>
      </c>
      <c r="K776" s="41">
        <v>19404</v>
      </c>
      <c r="L776" s="41" t="s">
        <v>1890</v>
      </c>
      <c r="M776" s="41">
        <v>96</v>
      </c>
    </row>
    <row r="777" spans="1:13" x14ac:dyDescent="0.25">
      <c r="A777" s="40" t="s">
        <v>1764</v>
      </c>
      <c r="B777" s="40" t="s">
        <v>27</v>
      </c>
      <c r="C777" s="40" t="s">
        <v>114</v>
      </c>
      <c r="D777" s="40" t="s">
        <v>1889</v>
      </c>
      <c r="E777" s="40" t="s">
        <v>41</v>
      </c>
      <c r="F777" s="40" t="s">
        <v>264</v>
      </c>
      <c r="G777" s="41">
        <v>1</v>
      </c>
      <c r="H777" s="41">
        <v>21000</v>
      </c>
      <c r="I777" s="41">
        <v>0</v>
      </c>
      <c r="J777" s="41">
        <v>0</v>
      </c>
      <c r="K777" s="41">
        <v>21209</v>
      </c>
      <c r="L777" s="41" t="s">
        <v>1891</v>
      </c>
      <c r="M777" s="41">
        <v>-209</v>
      </c>
    </row>
    <row r="778" spans="1:13" x14ac:dyDescent="0.25">
      <c r="A778" s="40" t="s">
        <v>1764</v>
      </c>
      <c r="B778" s="40" t="s">
        <v>27</v>
      </c>
      <c r="C778" s="40" t="s">
        <v>114</v>
      </c>
      <c r="D778" s="40" t="s">
        <v>1889</v>
      </c>
      <c r="E778" s="40" t="s">
        <v>41</v>
      </c>
      <c r="F778" s="40" t="s">
        <v>147</v>
      </c>
      <c r="G778" s="41">
        <v>1</v>
      </c>
      <c r="H778" s="41">
        <v>21000</v>
      </c>
      <c r="I778" s="41">
        <v>0</v>
      </c>
      <c r="J778" s="41">
        <v>0</v>
      </c>
      <c r="K778" s="41">
        <v>21209</v>
      </c>
      <c r="L778" s="41" t="s">
        <v>1892</v>
      </c>
      <c r="M778" s="41">
        <v>-209</v>
      </c>
    </row>
    <row r="779" spans="1:13" x14ac:dyDescent="0.25">
      <c r="A779" s="40" t="s">
        <v>1764</v>
      </c>
      <c r="B779" s="40" t="s">
        <v>27</v>
      </c>
      <c r="C779" s="40" t="s">
        <v>114</v>
      </c>
      <c r="D779" s="40" t="s">
        <v>1889</v>
      </c>
      <c r="E779" s="40" t="s">
        <v>41</v>
      </c>
      <c r="F779" s="40" t="s">
        <v>688</v>
      </c>
      <c r="G779" s="41">
        <v>1</v>
      </c>
      <c r="H779" s="41">
        <v>25000</v>
      </c>
      <c r="I779" s="41">
        <v>0</v>
      </c>
      <c r="J779" s="41">
        <v>0</v>
      </c>
      <c r="K779" s="41">
        <v>25271</v>
      </c>
      <c r="L779" s="41" t="s">
        <v>1893</v>
      </c>
      <c r="M779" s="41">
        <v>-271</v>
      </c>
    </row>
    <row r="780" spans="1:13" x14ac:dyDescent="0.25">
      <c r="A780" s="40" t="s">
        <v>1764</v>
      </c>
      <c r="B780" s="40" t="s">
        <v>27</v>
      </c>
      <c r="C780" s="40" t="s">
        <v>60</v>
      </c>
      <c r="D780" s="40" t="s">
        <v>1894</v>
      </c>
      <c r="E780" s="40" t="s">
        <v>15</v>
      </c>
      <c r="F780" s="40" t="s">
        <v>304</v>
      </c>
      <c r="G780" s="41">
        <v>1</v>
      </c>
      <c r="H780" s="41">
        <v>13800</v>
      </c>
      <c r="I780" s="41">
        <v>0</v>
      </c>
      <c r="J780" s="41">
        <v>0</v>
      </c>
      <c r="K780" s="41">
        <v>14010</v>
      </c>
      <c r="L780" s="41" t="s">
        <v>1895</v>
      </c>
      <c r="M780" s="41">
        <v>-210</v>
      </c>
    </row>
    <row r="781" spans="1:13" x14ac:dyDescent="0.25">
      <c r="A781" s="40" t="s">
        <v>1764</v>
      </c>
      <c r="B781" s="40" t="s">
        <v>27</v>
      </c>
      <c r="C781" s="40" t="s">
        <v>60</v>
      </c>
      <c r="D781" s="40" t="s">
        <v>1896</v>
      </c>
      <c r="E781" s="40" t="s">
        <v>109</v>
      </c>
      <c r="F781" s="40" t="s">
        <v>1216</v>
      </c>
      <c r="G781" s="41">
        <v>1</v>
      </c>
      <c r="H781" s="41">
        <v>15500</v>
      </c>
      <c r="I781" s="41">
        <v>0</v>
      </c>
      <c r="J781" s="41">
        <v>0</v>
      </c>
      <c r="K781" s="41">
        <v>15847</v>
      </c>
      <c r="L781" s="41" t="s">
        <v>1897</v>
      </c>
      <c r="M781" s="41">
        <v>-347</v>
      </c>
    </row>
    <row r="782" spans="1:13" x14ac:dyDescent="0.25">
      <c r="A782" s="40" t="s">
        <v>1764</v>
      </c>
      <c r="B782" s="40" t="s">
        <v>27</v>
      </c>
      <c r="C782" s="40" t="s">
        <v>60</v>
      </c>
      <c r="D782" s="40" t="s">
        <v>1898</v>
      </c>
      <c r="E782" s="40" t="s">
        <v>109</v>
      </c>
      <c r="F782" s="40" t="s">
        <v>319</v>
      </c>
      <c r="G782" s="41">
        <v>1</v>
      </c>
      <c r="H782" s="41">
        <v>9000</v>
      </c>
      <c r="I782" s="41">
        <v>0</v>
      </c>
      <c r="J782" s="41">
        <v>0</v>
      </c>
      <c r="K782" s="41">
        <v>9439</v>
      </c>
      <c r="L782" s="41" t="s">
        <v>1899</v>
      </c>
      <c r="M782" s="41">
        <v>-439</v>
      </c>
    </row>
    <row r="783" spans="1:13" x14ac:dyDescent="0.25">
      <c r="A783" s="40" t="s">
        <v>1764</v>
      </c>
      <c r="B783" s="40" t="s">
        <v>27</v>
      </c>
      <c r="C783" s="40" t="s">
        <v>60</v>
      </c>
      <c r="D783" s="40" t="s">
        <v>1898</v>
      </c>
      <c r="E783" s="40" t="s">
        <v>109</v>
      </c>
      <c r="F783" s="40" t="s">
        <v>319</v>
      </c>
      <c r="G783" s="41">
        <v>1</v>
      </c>
      <c r="H783" s="41">
        <v>9000</v>
      </c>
      <c r="I783" s="41">
        <v>0</v>
      </c>
      <c r="J783" s="41">
        <v>0</v>
      </c>
      <c r="K783" s="41">
        <v>9439</v>
      </c>
      <c r="L783" s="41" t="s">
        <v>1900</v>
      </c>
      <c r="M783" s="41">
        <v>-439</v>
      </c>
    </row>
    <row r="784" spans="1:13" x14ac:dyDescent="0.25">
      <c r="A784" s="40" t="s">
        <v>1764</v>
      </c>
      <c r="B784" s="40" t="s">
        <v>27</v>
      </c>
      <c r="C784" s="40" t="s">
        <v>60</v>
      </c>
      <c r="D784" s="40" t="s">
        <v>1901</v>
      </c>
      <c r="E784" s="40" t="s">
        <v>30</v>
      </c>
      <c r="F784" s="40" t="s">
        <v>1902</v>
      </c>
      <c r="G784" s="41">
        <v>1</v>
      </c>
      <c r="H784" s="41">
        <v>25000</v>
      </c>
      <c r="I784" s="41">
        <v>0</v>
      </c>
      <c r="J784" s="41">
        <v>0</v>
      </c>
      <c r="K784" s="41">
        <v>25878</v>
      </c>
      <c r="L784" s="41" t="s">
        <v>1903</v>
      </c>
      <c r="M784" s="41">
        <v>-878</v>
      </c>
    </row>
    <row r="785" spans="1:13" x14ac:dyDescent="0.25">
      <c r="A785" s="40" t="s">
        <v>1764</v>
      </c>
      <c r="B785" s="40" t="s">
        <v>27</v>
      </c>
      <c r="C785" s="40" t="s">
        <v>82</v>
      </c>
      <c r="D785" s="40" t="s">
        <v>1904</v>
      </c>
      <c r="E785" s="40" t="s">
        <v>95</v>
      </c>
      <c r="F785" s="40" t="s">
        <v>379</v>
      </c>
      <c r="G785" s="41">
        <v>1</v>
      </c>
      <c r="H785" s="41">
        <v>13500</v>
      </c>
      <c r="I785" s="41">
        <v>0</v>
      </c>
      <c r="J785" s="41">
        <v>0</v>
      </c>
      <c r="K785" s="41">
        <v>13539</v>
      </c>
      <c r="L785" s="41" t="s">
        <v>1905</v>
      </c>
      <c r="M785" s="41">
        <v>-39</v>
      </c>
    </row>
    <row r="786" spans="1:13" x14ac:dyDescent="0.25">
      <c r="A786" s="40" t="s">
        <v>1764</v>
      </c>
      <c r="B786" s="40" t="s">
        <v>27</v>
      </c>
      <c r="C786" s="40" t="s">
        <v>82</v>
      </c>
      <c r="D786" s="40" t="s">
        <v>1904</v>
      </c>
      <c r="E786" s="40" t="s">
        <v>95</v>
      </c>
      <c r="F786" s="40" t="s">
        <v>340</v>
      </c>
      <c r="G786" s="41">
        <v>1</v>
      </c>
      <c r="H786" s="41">
        <v>13500</v>
      </c>
      <c r="I786" s="41">
        <v>0</v>
      </c>
      <c r="J786" s="41">
        <v>0</v>
      </c>
      <c r="K786" s="41">
        <v>13539</v>
      </c>
      <c r="L786" s="41" t="s">
        <v>1906</v>
      </c>
      <c r="M786" s="41">
        <v>-39</v>
      </c>
    </row>
    <row r="787" spans="1:13" x14ac:dyDescent="0.25">
      <c r="A787" s="40" t="s">
        <v>1764</v>
      </c>
      <c r="B787" s="40" t="s">
        <v>27</v>
      </c>
      <c r="C787" s="40" t="s">
        <v>82</v>
      </c>
      <c r="D787" s="40" t="s">
        <v>1904</v>
      </c>
      <c r="E787" s="40" t="s">
        <v>95</v>
      </c>
      <c r="F787" s="40" t="s">
        <v>340</v>
      </c>
      <c r="G787" s="41">
        <v>1</v>
      </c>
      <c r="H787" s="41">
        <v>13500</v>
      </c>
      <c r="I787" s="41">
        <v>0</v>
      </c>
      <c r="J787" s="41">
        <v>0</v>
      </c>
      <c r="K787" s="41">
        <v>13539</v>
      </c>
      <c r="L787" s="41" t="s">
        <v>1907</v>
      </c>
      <c r="M787" s="41">
        <v>-39</v>
      </c>
    </row>
    <row r="788" spans="1:13" x14ac:dyDescent="0.25">
      <c r="A788" s="40" t="s">
        <v>1764</v>
      </c>
      <c r="B788" s="40" t="s">
        <v>27</v>
      </c>
      <c r="C788" s="40" t="s">
        <v>82</v>
      </c>
      <c r="D788" s="40" t="s">
        <v>1904</v>
      </c>
      <c r="E788" s="40" t="s">
        <v>95</v>
      </c>
      <c r="F788" s="40" t="s">
        <v>340</v>
      </c>
      <c r="G788" s="41">
        <v>1</v>
      </c>
      <c r="H788" s="41">
        <v>13500</v>
      </c>
      <c r="I788" s="41">
        <v>0</v>
      </c>
      <c r="J788" s="41">
        <v>0</v>
      </c>
      <c r="K788" s="41">
        <v>13539</v>
      </c>
      <c r="L788" s="41" t="s">
        <v>1908</v>
      </c>
      <c r="M788" s="41">
        <v>-39</v>
      </c>
    </row>
    <row r="789" spans="1:13" x14ac:dyDescent="0.25">
      <c r="A789" s="40" t="s">
        <v>1764</v>
      </c>
      <c r="B789" s="40" t="s">
        <v>27</v>
      </c>
      <c r="C789" s="40" t="s">
        <v>82</v>
      </c>
      <c r="D789" s="40" t="s">
        <v>1909</v>
      </c>
      <c r="E789" s="40" t="s">
        <v>30</v>
      </c>
      <c r="F789" s="40" t="s">
        <v>1910</v>
      </c>
      <c r="G789" s="41">
        <v>1</v>
      </c>
      <c r="H789" s="41">
        <v>16800</v>
      </c>
      <c r="I789" s="41">
        <v>0</v>
      </c>
      <c r="J789" s="41">
        <v>0</v>
      </c>
      <c r="K789" s="41">
        <v>17274</v>
      </c>
      <c r="L789" s="41" t="s">
        <v>1911</v>
      </c>
      <c r="M789" s="41">
        <v>-474</v>
      </c>
    </row>
    <row r="790" spans="1:13" x14ac:dyDescent="0.25">
      <c r="A790" s="40" t="s">
        <v>1764</v>
      </c>
      <c r="B790" s="40" t="s">
        <v>764</v>
      </c>
      <c r="C790" s="40" t="s">
        <v>360</v>
      </c>
      <c r="D790" s="40" t="s">
        <v>1912</v>
      </c>
      <c r="E790" s="40" t="s">
        <v>34</v>
      </c>
      <c r="F790" s="40" t="s">
        <v>910</v>
      </c>
      <c r="G790" s="41">
        <v>1</v>
      </c>
      <c r="H790" s="41">
        <v>15500</v>
      </c>
      <c r="I790" s="41">
        <v>0</v>
      </c>
      <c r="J790" s="41">
        <v>0</v>
      </c>
      <c r="K790" s="41">
        <v>16130</v>
      </c>
      <c r="L790" s="41" t="s">
        <v>1913</v>
      </c>
      <c r="M790" s="41">
        <v>-630</v>
      </c>
    </row>
    <row r="791" spans="1:13" x14ac:dyDescent="0.25">
      <c r="A791" s="40" t="s">
        <v>1764</v>
      </c>
      <c r="B791" s="40" t="s">
        <v>764</v>
      </c>
      <c r="C791" s="40" t="s">
        <v>60</v>
      </c>
      <c r="D791" s="40" t="s">
        <v>1914</v>
      </c>
      <c r="E791" s="40" t="s">
        <v>162</v>
      </c>
      <c r="F791" s="40" t="s">
        <v>1382</v>
      </c>
      <c r="G791" s="41">
        <v>1</v>
      </c>
      <c r="H791" s="41">
        <v>41999</v>
      </c>
      <c r="I791" s="41">
        <v>0</v>
      </c>
      <c r="J791" s="41">
        <v>0</v>
      </c>
      <c r="K791" s="41">
        <v>42253</v>
      </c>
      <c r="L791" s="41" t="s">
        <v>1915</v>
      </c>
      <c r="M791" s="41">
        <v>-254</v>
      </c>
    </row>
    <row r="792" spans="1:13" x14ac:dyDescent="0.25">
      <c r="A792" s="40" t="s">
        <v>1764</v>
      </c>
      <c r="B792" s="40" t="s">
        <v>764</v>
      </c>
      <c r="C792" s="40" t="s">
        <v>82</v>
      </c>
      <c r="D792" s="40" t="s">
        <v>1916</v>
      </c>
      <c r="E792" s="40" t="s">
        <v>15</v>
      </c>
      <c r="F792" s="40" t="s">
        <v>829</v>
      </c>
      <c r="G792" s="41">
        <v>1</v>
      </c>
      <c r="H792" s="41">
        <v>7500</v>
      </c>
      <c r="I792" s="41">
        <v>0</v>
      </c>
      <c r="J792" s="41">
        <v>0</v>
      </c>
      <c r="K792" s="41">
        <v>7510</v>
      </c>
      <c r="L792" s="41" t="s">
        <v>1917</v>
      </c>
      <c r="M792" s="41">
        <v>-10</v>
      </c>
    </row>
    <row r="793" spans="1:13" x14ac:dyDescent="0.25">
      <c r="A793" s="39" t="s">
        <v>11</v>
      </c>
      <c r="B793" s="40" t="s">
        <v>27</v>
      </c>
      <c r="C793" s="40" t="s">
        <v>18</v>
      </c>
      <c r="D793" s="40" t="s">
        <v>1949</v>
      </c>
      <c r="E793" s="40" t="s">
        <v>2028</v>
      </c>
      <c r="F793" s="41" t="s">
        <v>1950</v>
      </c>
      <c r="G793" s="41">
        <v>1</v>
      </c>
      <c r="H793" s="41">
        <v>1400</v>
      </c>
      <c r="I793" s="41">
        <v>0</v>
      </c>
      <c r="J793" s="41">
        <v>0</v>
      </c>
      <c r="K793" s="41">
        <v>1206</v>
      </c>
      <c r="L793" s="41" t="s">
        <v>2029</v>
      </c>
      <c r="M793" s="43">
        <v>194</v>
      </c>
    </row>
    <row r="794" spans="1:13" x14ac:dyDescent="0.25">
      <c r="A794" s="39" t="s">
        <v>11</v>
      </c>
      <c r="B794" s="40" t="s">
        <v>27</v>
      </c>
      <c r="C794" s="40" t="s">
        <v>60</v>
      </c>
      <c r="D794" s="40" t="s">
        <v>1951</v>
      </c>
      <c r="E794" s="40" t="s">
        <v>2028</v>
      </c>
      <c r="F794" s="41" t="s">
        <v>62</v>
      </c>
      <c r="G794" s="41">
        <v>1</v>
      </c>
      <c r="H794" s="41">
        <v>16300</v>
      </c>
      <c r="I794" s="41">
        <v>0</v>
      </c>
      <c r="J794" s="41">
        <v>0</v>
      </c>
      <c r="K794" s="41">
        <v>15847</v>
      </c>
      <c r="L794" s="41" t="s">
        <v>2030</v>
      </c>
      <c r="M794" s="43">
        <v>453</v>
      </c>
    </row>
    <row r="795" spans="1:13" x14ac:dyDescent="0.25">
      <c r="A795" s="39" t="s">
        <v>86</v>
      </c>
      <c r="B795" s="40" t="s">
        <v>12</v>
      </c>
      <c r="C795" s="40" t="s">
        <v>28</v>
      </c>
      <c r="D795" s="40" t="s">
        <v>1952</v>
      </c>
      <c r="E795" s="40" t="s">
        <v>2028</v>
      </c>
      <c r="F795" s="41" t="s">
        <v>38</v>
      </c>
      <c r="G795" s="41">
        <v>1</v>
      </c>
      <c r="H795" s="41">
        <v>12000</v>
      </c>
      <c r="I795" s="41">
        <v>0</v>
      </c>
      <c r="J795" s="41">
        <v>0</v>
      </c>
      <c r="K795" s="41">
        <v>12140</v>
      </c>
      <c r="L795" s="41" t="s">
        <v>2031</v>
      </c>
      <c r="M795" s="43">
        <v>-140</v>
      </c>
    </row>
    <row r="796" spans="1:13" x14ac:dyDescent="0.25">
      <c r="A796" s="39" t="s">
        <v>86</v>
      </c>
      <c r="B796" s="40" t="s">
        <v>12</v>
      </c>
      <c r="C796" s="40" t="s">
        <v>114</v>
      </c>
      <c r="D796" s="40" t="s">
        <v>1953</v>
      </c>
      <c r="E796" s="40" t="s">
        <v>2028</v>
      </c>
      <c r="F796" s="41" t="s">
        <v>127</v>
      </c>
      <c r="G796" s="41">
        <v>1</v>
      </c>
      <c r="H796" s="41">
        <v>19500</v>
      </c>
      <c r="I796" s="41">
        <v>0</v>
      </c>
      <c r="J796" s="41">
        <v>0</v>
      </c>
      <c r="K796" s="41">
        <v>17528</v>
      </c>
      <c r="L796" s="41" t="s">
        <v>2032</v>
      </c>
      <c r="M796" s="43">
        <v>1972</v>
      </c>
    </row>
    <row r="797" spans="1:13" x14ac:dyDescent="0.25">
      <c r="A797" s="39" t="s">
        <v>86</v>
      </c>
      <c r="B797" s="40" t="s">
        <v>12</v>
      </c>
      <c r="C797" s="40" t="s">
        <v>114</v>
      </c>
      <c r="D797" s="40" t="s">
        <v>1954</v>
      </c>
      <c r="E797" s="40" t="s">
        <v>2028</v>
      </c>
      <c r="F797" s="41" t="s">
        <v>1955</v>
      </c>
      <c r="G797" s="41">
        <v>1</v>
      </c>
      <c r="H797" s="41">
        <v>60000</v>
      </c>
      <c r="I797" s="41">
        <v>0</v>
      </c>
      <c r="J797" s="41">
        <v>0</v>
      </c>
      <c r="K797" s="41">
        <v>61825</v>
      </c>
      <c r="L797" s="41" t="s">
        <v>2033</v>
      </c>
      <c r="M797" s="43">
        <v>-1825</v>
      </c>
    </row>
    <row r="798" spans="1:13" x14ac:dyDescent="0.25">
      <c r="A798" s="39" t="s">
        <v>86</v>
      </c>
      <c r="B798" s="40" t="s">
        <v>12</v>
      </c>
      <c r="C798" s="40" t="s">
        <v>114</v>
      </c>
      <c r="D798" s="40" t="s">
        <v>1956</v>
      </c>
      <c r="E798" s="40" t="s">
        <v>2028</v>
      </c>
      <c r="F798" s="41" t="s">
        <v>1957</v>
      </c>
      <c r="G798" s="41">
        <v>1</v>
      </c>
      <c r="H798" s="41">
        <v>137000</v>
      </c>
      <c r="I798" s="41">
        <v>0</v>
      </c>
      <c r="J798" s="41">
        <v>0</v>
      </c>
      <c r="K798" s="41">
        <v>132212.43</v>
      </c>
      <c r="L798" s="41" t="s">
        <v>2034</v>
      </c>
      <c r="M798" s="43">
        <v>4787.57</v>
      </c>
    </row>
    <row r="799" spans="1:13" x14ac:dyDescent="0.25">
      <c r="A799" s="39" t="s">
        <v>86</v>
      </c>
      <c r="B799" s="40" t="s">
        <v>12</v>
      </c>
      <c r="C799" s="40" t="s">
        <v>114</v>
      </c>
      <c r="D799" s="40" t="s">
        <v>1958</v>
      </c>
      <c r="E799" s="40" t="s">
        <v>2028</v>
      </c>
      <c r="F799" s="41" t="s">
        <v>1959</v>
      </c>
      <c r="G799" s="41">
        <v>1</v>
      </c>
      <c r="H799" s="41">
        <v>82500</v>
      </c>
      <c r="I799" s="41">
        <v>0</v>
      </c>
      <c r="J799" s="41">
        <v>0</v>
      </c>
      <c r="K799" s="41">
        <v>82751.31</v>
      </c>
      <c r="L799" s="41" t="s">
        <v>2035</v>
      </c>
      <c r="M799" s="43">
        <v>-251.31</v>
      </c>
    </row>
    <row r="800" spans="1:13" x14ac:dyDescent="0.25">
      <c r="A800" s="39" t="s">
        <v>196</v>
      </c>
      <c r="B800" s="40" t="s">
        <v>27</v>
      </c>
      <c r="C800" s="40" t="s">
        <v>360</v>
      </c>
      <c r="D800" s="40" t="s">
        <v>1960</v>
      </c>
      <c r="E800" s="40" t="s">
        <v>2028</v>
      </c>
      <c r="F800" s="41" t="s">
        <v>362</v>
      </c>
      <c r="G800" s="41">
        <v>1</v>
      </c>
      <c r="H800" s="41">
        <v>35300</v>
      </c>
      <c r="I800" s="41">
        <v>0</v>
      </c>
      <c r="J800" s="41">
        <v>0</v>
      </c>
      <c r="K800" s="41">
        <v>34683</v>
      </c>
      <c r="L800" s="41" t="s">
        <v>2036</v>
      </c>
      <c r="M800" s="43">
        <v>617</v>
      </c>
    </row>
    <row r="801" spans="1:13" x14ac:dyDescent="0.25">
      <c r="A801" s="39" t="s">
        <v>196</v>
      </c>
      <c r="B801" s="40" t="s">
        <v>27</v>
      </c>
      <c r="C801" s="40" t="s">
        <v>60</v>
      </c>
      <c r="D801" s="40" t="s">
        <v>1961</v>
      </c>
      <c r="E801" s="40" t="s">
        <v>2028</v>
      </c>
      <c r="F801" s="41" t="s">
        <v>65</v>
      </c>
      <c r="G801" s="41">
        <v>1</v>
      </c>
      <c r="H801" s="41">
        <v>41500</v>
      </c>
      <c r="I801" s="41">
        <v>0</v>
      </c>
      <c r="J801" s="41">
        <v>0</v>
      </c>
      <c r="K801" s="41">
        <v>42253</v>
      </c>
      <c r="L801" s="41" t="s">
        <v>2037</v>
      </c>
      <c r="M801" s="43">
        <v>-753</v>
      </c>
    </row>
    <row r="802" spans="1:13" x14ac:dyDescent="0.25">
      <c r="A802" s="39" t="s">
        <v>196</v>
      </c>
      <c r="B802" s="40" t="s">
        <v>27</v>
      </c>
      <c r="C802" s="40" t="s">
        <v>60</v>
      </c>
      <c r="D802" s="40" t="s">
        <v>1962</v>
      </c>
      <c r="E802" s="40" t="s">
        <v>2028</v>
      </c>
      <c r="F802" s="41" t="s">
        <v>65</v>
      </c>
      <c r="G802" s="41">
        <v>1</v>
      </c>
      <c r="H802" s="41">
        <v>42000</v>
      </c>
      <c r="I802" s="41">
        <v>0</v>
      </c>
      <c r="J802" s="41">
        <v>0</v>
      </c>
      <c r="K802" s="41">
        <v>42253</v>
      </c>
      <c r="L802" s="41" t="s">
        <v>2038</v>
      </c>
      <c r="M802" s="43">
        <v>-253</v>
      </c>
    </row>
    <row r="803" spans="1:13" x14ac:dyDescent="0.25">
      <c r="A803" s="39" t="s">
        <v>196</v>
      </c>
      <c r="B803" s="40" t="s">
        <v>27</v>
      </c>
      <c r="C803" s="40" t="s">
        <v>60</v>
      </c>
      <c r="D803" s="40" t="s">
        <v>1963</v>
      </c>
      <c r="E803" s="40" t="s">
        <v>2028</v>
      </c>
      <c r="F803" s="41" t="s">
        <v>1964</v>
      </c>
      <c r="G803" s="41">
        <v>1</v>
      </c>
      <c r="H803" s="41">
        <v>42500</v>
      </c>
      <c r="I803" s="41">
        <v>0</v>
      </c>
      <c r="J803" s="41">
        <v>0</v>
      </c>
      <c r="K803" s="41">
        <v>42253</v>
      </c>
      <c r="L803" s="41" t="s">
        <v>2039</v>
      </c>
      <c r="M803" s="43">
        <v>247</v>
      </c>
    </row>
    <row r="804" spans="1:13" x14ac:dyDescent="0.25">
      <c r="A804" s="39" t="s">
        <v>196</v>
      </c>
      <c r="B804" s="40" t="s">
        <v>27</v>
      </c>
      <c r="C804" s="40" t="s">
        <v>60</v>
      </c>
      <c r="D804" s="40" t="s">
        <v>1965</v>
      </c>
      <c r="E804" s="40" t="s">
        <v>2028</v>
      </c>
      <c r="F804" s="41" t="s">
        <v>1216</v>
      </c>
      <c r="G804" s="41">
        <v>1</v>
      </c>
      <c r="H804" s="41">
        <v>16200</v>
      </c>
      <c r="I804" s="41">
        <v>0</v>
      </c>
      <c r="J804" s="41">
        <v>0</v>
      </c>
      <c r="K804" s="41">
        <v>15847</v>
      </c>
      <c r="L804" s="41" t="s">
        <v>2040</v>
      </c>
      <c r="M804" s="43">
        <v>353</v>
      </c>
    </row>
    <row r="805" spans="1:13" x14ac:dyDescent="0.25">
      <c r="A805" s="39" t="s">
        <v>350</v>
      </c>
      <c r="B805" s="40" t="s">
        <v>12</v>
      </c>
      <c r="C805" s="40" t="s">
        <v>114</v>
      </c>
      <c r="D805" s="40" t="s">
        <v>1966</v>
      </c>
      <c r="E805" s="40" t="s">
        <v>2028</v>
      </c>
      <c r="F805" s="41" t="s">
        <v>124</v>
      </c>
      <c r="G805" s="41">
        <v>1</v>
      </c>
      <c r="H805" s="41">
        <v>15200</v>
      </c>
      <c r="I805" s="41">
        <v>0</v>
      </c>
      <c r="J805" s="41">
        <v>0</v>
      </c>
      <c r="K805" s="41">
        <v>15000</v>
      </c>
      <c r="L805" s="41" t="s">
        <v>2041</v>
      </c>
      <c r="M805" s="43">
        <v>200</v>
      </c>
    </row>
    <row r="806" spans="1:13" x14ac:dyDescent="0.25">
      <c r="A806" s="39" t="s">
        <v>397</v>
      </c>
      <c r="B806" s="40" t="s">
        <v>12</v>
      </c>
      <c r="C806" s="40" t="s">
        <v>28</v>
      </c>
      <c r="D806" s="40" t="s">
        <v>1967</v>
      </c>
      <c r="E806" s="40" t="s">
        <v>2028</v>
      </c>
      <c r="F806" s="41" t="s">
        <v>31</v>
      </c>
      <c r="G806" s="41">
        <v>1</v>
      </c>
      <c r="H806" s="41">
        <v>12499</v>
      </c>
      <c r="I806" s="41">
        <v>0</v>
      </c>
      <c r="J806" s="41">
        <v>0</v>
      </c>
      <c r="K806" s="41">
        <v>12140</v>
      </c>
      <c r="L806" s="41" t="s">
        <v>2042</v>
      </c>
      <c r="M806" s="43">
        <v>359</v>
      </c>
    </row>
    <row r="807" spans="1:13" x14ac:dyDescent="0.25">
      <c r="A807" s="39" t="s">
        <v>397</v>
      </c>
      <c r="B807" s="40" t="s">
        <v>12</v>
      </c>
      <c r="C807" s="40" t="s">
        <v>28</v>
      </c>
      <c r="D807" s="40" t="s">
        <v>1968</v>
      </c>
      <c r="E807" s="40" t="s">
        <v>2028</v>
      </c>
      <c r="F807" s="41" t="s">
        <v>444</v>
      </c>
      <c r="G807" s="41">
        <v>1</v>
      </c>
      <c r="H807" s="41">
        <v>32000</v>
      </c>
      <c r="I807" s="41">
        <v>0</v>
      </c>
      <c r="J807" s="41">
        <v>0</v>
      </c>
      <c r="K807" s="41">
        <v>31748</v>
      </c>
      <c r="L807" s="41" t="s">
        <v>2043</v>
      </c>
      <c r="M807" s="43">
        <v>252</v>
      </c>
    </row>
    <row r="808" spans="1:13" x14ac:dyDescent="0.25">
      <c r="A808" s="39" t="s">
        <v>397</v>
      </c>
      <c r="B808" s="40" t="s">
        <v>12</v>
      </c>
      <c r="C808" s="40" t="s">
        <v>114</v>
      </c>
      <c r="D808" s="40" t="s">
        <v>1969</v>
      </c>
      <c r="E808" s="40" t="s">
        <v>2028</v>
      </c>
      <c r="F808" s="41" t="s">
        <v>156</v>
      </c>
      <c r="G808" s="41">
        <v>1</v>
      </c>
      <c r="H808" s="41">
        <v>15396</v>
      </c>
      <c r="I808" s="41">
        <v>0</v>
      </c>
      <c r="J808" s="41">
        <v>0</v>
      </c>
      <c r="K808" s="41">
        <v>14891</v>
      </c>
      <c r="L808" s="41" t="s">
        <v>2044</v>
      </c>
      <c r="M808" s="43">
        <v>505</v>
      </c>
    </row>
    <row r="809" spans="1:13" x14ac:dyDescent="0.25">
      <c r="A809" s="39" t="s">
        <v>482</v>
      </c>
      <c r="B809" s="40" t="s">
        <v>12</v>
      </c>
      <c r="C809" s="40" t="s">
        <v>87</v>
      </c>
      <c r="D809" s="40" t="s">
        <v>1970</v>
      </c>
      <c r="E809" s="40" t="s">
        <v>2028</v>
      </c>
      <c r="F809" s="41" t="s">
        <v>1971</v>
      </c>
      <c r="G809" s="41">
        <v>1</v>
      </c>
      <c r="H809" s="41">
        <v>134900</v>
      </c>
      <c r="I809" s="41">
        <v>0</v>
      </c>
      <c r="J809" s="41">
        <v>0</v>
      </c>
      <c r="K809" s="41">
        <v>130826</v>
      </c>
      <c r="L809" s="41" t="s">
        <v>2045</v>
      </c>
      <c r="M809" s="43">
        <v>4074</v>
      </c>
    </row>
    <row r="810" spans="1:13" x14ac:dyDescent="0.25">
      <c r="A810" s="39" t="s">
        <v>482</v>
      </c>
      <c r="B810" s="40" t="s">
        <v>12</v>
      </c>
      <c r="C810" s="40" t="s">
        <v>28</v>
      </c>
      <c r="D810" s="40" t="s">
        <v>1972</v>
      </c>
      <c r="E810" s="40" t="s">
        <v>2028</v>
      </c>
      <c r="F810" s="41" t="s">
        <v>106</v>
      </c>
      <c r="G810" s="41">
        <v>1</v>
      </c>
      <c r="H810" s="41">
        <v>16999</v>
      </c>
      <c r="I810" s="41">
        <v>0</v>
      </c>
      <c r="J810" s="41">
        <v>0</v>
      </c>
      <c r="K810" s="41">
        <v>16511</v>
      </c>
      <c r="L810" s="41" t="s">
        <v>2046</v>
      </c>
      <c r="M810" s="43">
        <v>488</v>
      </c>
    </row>
    <row r="811" spans="1:13" x14ac:dyDescent="0.25">
      <c r="A811" s="39" t="s">
        <v>482</v>
      </c>
      <c r="B811" s="40" t="s">
        <v>12</v>
      </c>
      <c r="C811" s="40" t="s">
        <v>28</v>
      </c>
      <c r="D811" s="40" t="s">
        <v>1973</v>
      </c>
      <c r="E811" s="40" t="s">
        <v>2028</v>
      </c>
      <c r="F811" s="41" t="s">
        <v>106</v>
      </c>
      <c r="G811" s="41">
        <v>1</v>
      </c>
      <c r="H811" s="41">
        <v>16999</v>
      </c>
      <c r="I811" s="41">
        <v>0</v>
      </c>
      <c r="J811" s="41">
        <v>0</v>
      </c>
      <c r="K811" s="41">
        <v>16511</v>
      </c>
      <c r="L811" s="41" t="s">
        <v>2047</v>
      </c>
      <c r="M811" s="43">
        <v>488</v>
      </c>
    </row>
    <row r="812" spans="1:13" x14ac:dyDescent="0.25">
      <c r="A812" s="39" t="s">
        <v>482</v>
      </c>
      <c r="B812" s="40" t="s">
        <v>12</v>
      </c>
      <c r="C812" s="40" t="s">
        <v>50</v>
      </c>
      <c r="D812" s="40" t="s">
        <v>1974</v>
      </c>
      <c r="E812" s="40" t="s">
        <v>2028</v>
      </c>
      <c r="F812" s="41" t="s">
        <v>569</v>
      </c>
      <c r="G812" s="41">
        <v>1</v>
      </c>
      <c r="H812" s="41">
        <v>14000</v>
      </c>
      <c r="I812" s="41">
        <v>0</v>
      </c>
      <c r="J812" s="41">
        <v>0</v>
      </c>
      <c r="K812" s="41">
        <v>14175</v>
      </c>
      <c r="L812" s="41" t="s">
        <v>2048</v>
      </c>
      <c r="M812" s="43">
        <v>-175</v>
      </c>
    </row>
    <row r="813" spans="1:13" x14ac:dyDescent="0.25">
      <c r="A813" s="39" t="s">
        <v>482</v>
      </c>
      <c r="B813" s="40" t="s">
        <v>12</v>
      </c>
      <c r="C813" s="40" t="s">
        <v>60</v>
      </c>
      <c r="D813" s="40" t="s">
        <v>1975</v>
      </c>
      <c r="E813" s="40" t="s">
        <v>2028</v>
      </c>
      <c r="F813" s="41" t="s">
        <v>1382</v>
      </c>
      <c r="G813" s="41">
        <v>1</v>
      </c>
      <c r="H813" s="41">
        <v>43000</v>
      </c>
      <c r="I813" s="41">
        <v>0</v>
      </c>
      <c r="J813" s="41">
        <v>0</v>
      </c>
      <c r="K813" s="41">
        <v>42253</v>
      </c>
      <c r="L813" s="41" t="s">
        <v>2049</v>
      </c>
      <c r="M813" s="43">
        <v>747</v>
      </c>
    </row>
    <row r="814" spans="1:13" x14ac:dyDescent="0.25">
      <c r="A814" s="39" t="s">
        <v>608</v>
      </c>
      <c r="B814" s="40" t="s">
        <v>27</v>
      </c>
      <c r="C814" s="40" t="s">
        <v>360</v>
      </c>
      <c r="D814" s="40" t="s">
        <v>1976</v>
      </c>
      <c r="E814" s="40" t="s">
        <v>2028</v>
      </c>
      <c r="F814" s="41" t="s">
        <v>892</v>
      </c>
      <c r="G814" s="41">
        <v>1</v>
      </c>
      <c r="H814" s="41">
        <v>18200</v>
      </c>
      <c r="I814" s="41">
        <v>0</v>
      </c>
      <c r="J814" s="41">
        <v>0</v>
      </c>
      <c r="K814" s="41">
        <v>17734</v>
      </c>
      <c r="L814" s="41" t="s">
        <v>2050</v>
      </c>
      <c r="M814" s="43">
        <v>466</v>
      </c>
    </row>
    <row r="815" spans="1:13" x14ac:dyDescent="0.25">
      <c r="A815" s="39" t="s">
        <v>608</v>
      </c>
      <c r="B815" s="40" t="s">
        <v>27</v>
      </c>
      <c r="C815" s="40" t="s">
        <v>114</v>
      </c>
      <c r="D815" s="40" t="s">
        <v>1977</v>
      </c>
      <c r="E815" s="40" t="s">
        <v>2028</v>
      </c>
      <c r="F815" s="41" t="s">
        <v>153</v>
      </c>
      <c r="G815" s="41">
        <v>1</v>
      </c>
      <c r="H815" s="41">
        <v>131000</v>
      </c>
      <c r="I815" s="41">
        <v>0</v>
      </c>
      <c r="J815" s="41">
        <v>0</v>
      </c>
      <c r="K815" s="41">
        <v>132036</v>
      </c>
      <c r="L815" s="41" t="s">
        <v>2051</v>
      </c>
      <c r="M815" s="43">
        <v>-1036</v>
      </c>
    </row>
    <row r="816" spans="1:13" x14ac:dyDescent="0.25">
      <c r="A816" s="39" t="s">
        <v>608</v>
      </c>
      <c r="B816" s="40" t="s">
        <v>27</v>
      </c>
      <c r="C816" s="40" t="s">
        <v>60</v>
      </c>
      <c r="D816" s="40" t="s">
        <v>1978</v>
      </c>
      <c r="E816" s="40" t="s">
        <v>2028</v>
      </c>
      <c r="F816" s="41" t="s">
        <v>322</v>
      </c>
      <c r="G816" s="41">
        <v>1</v>
      </c>
      <c r="H816" s="41">
        <v>36200</v>
      </c>
      <c r="I816" s="41">
        <v>0</v>
      </c>
      <c r="J816" s="41">
        <v>0</v>
      </c>
      <c r="K816" s="41">
        <v>35123</v>
      </c>
      <c r="L816" s="41" t="s">
        <v>2052</v>
      </c>
      <c r="M816" s="43">
        <v>1077</v>
      </c>
    </row>
    <row r="817" spans="1:13" x14ac:dyDescent="0.25">
      <c r="A817" s="39" t="s">
        <v>717</v>
      </c>
      <c r="B817" s="40" t="s">
        <v>12</v>
      </c>
      <c r="C817" s="40" t="s">
        <v>360</v>
      </c>
      <c r="D817" s="40" t="s">
        <v>1979</v>
      </c>
      <c r="E817" s="40" t="s">
        <v>2028</v>
      </c>
      <c r="F817" s="41" t="s">
        <v>651</v>
      </c>
      <c r="G817" s="41">
        <v>1</v>
      </c>
      <c r="H817" s="41">
        <v>16300</v>
      </c>
      <c r="I817" s="41">
        <v>0</v>
      </c>
      <c r="J817" s="41">
        <v>0</v>
      </c>
      <c r="K817" s="41">
        <v>16007</v>
      </c>
      <c r="L817" s="41" t="s">
        <v>2053</v>
      </c>
      <c r="M817" s="43">
        <v>293</v>
      </c>
    </row>
    <row r="818" spans="1:13" x14ac:dyDescent="0.25">
      <c r="A818" s="39" t="s">
        <v>763</v>
      </c>
      <c r="B818" s="40" t="s">
        <v>764</v>
      </c>
      <c r="C818" s="40" t="s">
        <v>50</v>
      </c>
      <c r="D818" s="40" t="s">
        <v>1980</v>
      </c>
      <c r="E818" s="40" t="s">
        <v>2028</v>
      </c>
      <c r="F818" s="41" t="s">
        <v>781</v>
      </c>
      <c r="G818" s="41">
        <v>1</v>
      </c>
      <c r="H818" s="41">
        <v>14499</v>
      </c>
      <c r="I818" s="41">
        <v>0</v>
      </c>
      <c r="J818" s="41">
        <v>0</v>
      </c>
      <c r="K818" s="41">
        <v>13582</v>
      </c>
      <c r="L818" s="41" t="s">
        <v>2054</v>
      </c>
      <c r="M818" s="43">
        <v>917</v>
      </c>
    </row>
    <row r="819" spans="1:13" x14ac:dyDescent="0.25">
      <c r="A819" s="39" t="s">
        <v>763</v>
      </c>
      <c r="B819" s="40" t="s">
        <v>764</v>
      </c>
      <c r="C819" s="40" t="s">
        <v>50</v>
      </c>
      <c r="D819" s="40" t="s">
        <v>1981</v>
      </c>
      <c r="E819" s="40" t="s">
        <v>2028</v>
      </c>
      <c r="F819" s="41" t="s">
        <v>1440</v>
      </c>
      <c r="G819" s="41">
        <v>1</v>
      </c>
      <c r="H819" s="41">
        <v>36999</v>
      </c>
      <c r="I819" s="41">
        <v>0</v>
      </c>
      <c r="J819" s="41">
        <v>0</v>
      </c>
      <c r="K819" s="41">
        <v>33746</v>
      </c>
      <c r="L819" s="41" t="s">
        <v>2055</v>
      </c>
      <c r="M819" s="43">
        <v>3253</v>
      </c>
    </row>
    <row r="820" spans="1:13" x14ac:dyDescent="0.25">
      <c r="A820" s="39" t="s">
        <v>763</v>
      </c>
      <c r="B820" s="40" t="s">
        <v>764</v>
      </c>
      <c r="C820" s="40" t="s">
        <v>50</v>
      </c>
      <c r="D820" s="40" t="s">
        <v>1982</v>
      </c>
      <c r="E820" s="40" t="s">
        <v>2028</v>
      </c>
      <c r="F820" s="41" t="s">
        <v>781</v>
      </c>
      <c r="G820" s="41">
        <v>1</v>
      </c>
      <c r="H820" s="41">
        <v>14499</v>
      </c>
      <c r="I820" s="41">
        <v>0</v>
      </c>
      <c r="J820" s="41">
        <v>0</v>
      </c>
      <c r="K820" s="41">
        <v>13582</v>
      </c>
      <c r="L820" s="41" t="s">
        <v>2056</v>
      </c>
      <c r="M820" s="43">
        <v>917</v>
      </c>
    </row>
    <row r="821" spans="1:13" x14ac:dyDescent="0.25">
      <c r="A821" s="39" t="s">
        <v>831</v>
      </c>
      <c r="B821" s="40" t="s">
        <v>764</v>
      </c>
      <c r="C821" s="40" t="s">
        <v>60</v>
      </c>
      <c r="D821" s="40" t="s">
        <v>1983</v>
      </c>
      <c r="E821" s="40" t="s">
        <v>2028</v>
      </c>
      <c r="F821" s="41" t="s">
        <v>1964</v>
      </c>
      <c r="G821" s="41">
        <v>1</v>
      </c>
      <c r="H821" s="41">
        <v>43000</v>
      </c>
      <c r="I821" s="41">
        <v>0</v>
      </c>
      <c r="J821" s="41">
        <v>0</v>
      </c>
      <c r="K821" s="41">
        <v>42253</v>
      </c>
      <c r="L821" s="41" t="s">
        <v>2057</v>
      </c>
      <c r="M821" s="43">
        <v>747</v>
      </c>
    </row>
    <row r="822" spans="1:13" x14ac:dyDescent="0.25">
      <c r="A822" s="39" t="s">
        <v>831</v>
      </c>
      <c r="B822" s="40" t="s">
        <v>764</v>
      </c>
      <c r="C822" s="40" t="s">
        <v>60</v>
      </c>
      <c r="D822" s="40" t="s">
        <v>1984</v>
      </c>
      <c r="E822" s="40" t="s">
        <v>2028</v>
      </c>
      <c r="F822" s="41" t="s">
        <v>286</v>
      </c>
      <c r="G822" s="41">
        <v>1</v>
      </c>
      <c r="H822" s="41">
        <v>54000</v>
      </c>
      <c r="I822" s="41">
        <v>0</v>
      </c>
      <c r="J822" s="41">
        <v>0</v>
      </c>
      <c r="K822" s="41">
        <v>52279</v>
      </c>
      <c r="L822" s="41" t="s">
        <v>2058</v>
      </c>
      <c r="M822" s="43">
        <v>1721</v>
      </c>
    </row>
    <row r="823" spans="1:13" x14ac:dyDescent="0.25">
      <c r="A823" s="39" t="s">
        <v>831</v>
      </c>
      <c r="B823" s="40" t="s">
        <v>764</v>
      </c>
      <c r="C823" s="40" t="s">
        <v>60</v>
      </c>
      <c r="D823" s="40" t="s">
        <v>1985</v>
      </c>
      <c r="E823" s="40" t="s">
        <v>2028</v>
      </c>
      <c r="F823" s="41" t="s">
        <v>1986</v>
      </c>
      <c r="G823" s="41">
        <v>1</v>
      </c>
      <c r="H823" s="41">
        <v>46000</v>
      </c>
      <c r="I823" s="41">
        <v>0</v>
      </c>
      <c r="J823" s="41">
        <v>0</v>
      </c>
      <c r="K823" s="41">
        <v>45894</v>
      </c>
      <c r="L823" s="41" t="s">
        <v>2059</v>
      </c>
      <c r="M823" s="43">
        <v>106</v>
      </c>
    </row>
    <row r="824" spans="1:13" x14ac:dyDescent="0.25">
      <c r="A824" s="39" t="s">
        <v>958</v>
      </c>
      <c r="B824" s="40" t="s">
        <v>764</v>
      </c>
      <c r="C824" s="40" t="s">
        <v>50</v>
      </c>
      <c r="D824" s="40" t="s">
        <v>1987</v>
      </c>
      <c r="E824" s="40" t="s">
        <v>2028</v>
      </c>
      <c r="F824" s="41" t="s">
        <v>1467</v>
      </c>
      <c r="G824" s="41">
        <v>1</v>
      </c>
      <c r="H824" s="41">
        <v>31999</v>
      </c>
      <c r="I824" s="41">
        <v>0</v>
      </c>
      <c r="J824" s="41">
        <v>0</v>
      </c>
      <c r="K824" s="41">
        <v>29186</v>
      </c>
      <c r="L824" s="41" t="s">
        <v>2060</v>
      </c>
      <c r="M824" s="43">
        <v>2813</v>
      </c>
    </row>
    <row r="825" spans="1:13" x14ac:dyDescent="0.25">
      <c r="A825" s="39" t="s">
        <v>958</v>
      </c>
      <c r="B825" s="40" t="s">
        <v>764</v>
      </c>
      <c r="C825" s="40" t="s">
        <v>50</v>
      </c>
      <c r="D825" s="40" t="s">
        <v>1988</v>
      </c>
      <c r="E825" s="40" t="s">
        <v>2028</v>
      </c>
      <c r="F825" s="41" t="s">
        <v>1787</v>
      </c>
      <c r="G825" s="41">
        <v>1</v>
      </c>
      <c r="H825" s="41">
        <v>26999</v>
      </c>
      <c r="I825" s="41">
        <v>0</v>
      </c>
      <c r="J825" s="41">
        <v>0</v>
      </c>
      <c r="K825" s="41">
        <v>24625</v>
      </c>
      <c r="L825" s="41" t="s">
        <v>2061</v>
      </c>
      <c r="M825" s="43">
        <v>2374</v>
      </c>
    </row>
    <row r="826" spans="1:13" x14ac:dyDescent="0.25">
      <c r="A826" s="39" t="s">
        <v>1061</v>
      </c>
      <c r="B826" s="40" t="s">
        <v>764</v>
      </c>
      <c r="C826" s="40" t="s">
        <v>60</v>
      </c>
      <c r="D826" s="40" t="s">
        <v>1989</v>
      </c>
      <c r="E826" s="40" t="s">
        <v>2028</v>
      </c>
      <c r="F826" s="41" t="s">
        <v>1382</v>
      </c>
      <c r="G826" s="41">
        <v>1</v>
      </c>
      <c r="H826" s="41">
        <v>45999</v>
      </c>
      <c r="I826" s="41">
        <v>0</v>
      </c>
      <c r="J826" s="41">
        <v>0</v>
      </c>
      <c r="K826" s="41">
        <v>42253</v>
      </c>
      <c r="L826" s="41" t="s">
        <v>2062</v>
      </c>
      <c r="M826" s="43">
        <v>3746</v>
      </c>
    </row>
    <row r="827" spans="1:13" x14ac:dyDescent="0.25">
      <c r="A827" s="39" t="s">
        <v>1105</v>
      </c>
      <c r="B827" s="40" t="s">
        <v>12</v>
      </c>
      <c r="C827" s="40" t="s">
        <v>28</v>
      </c>
      <c r="D827" s="40" t="s">
        <v>1990</v>
      </c>
      <c r="E827" s="40" t="s">
        <v>2028</v>
      </c>
      <c r="F827" s="41" t="s">
        <v>449</v>
      </c>
      <c r="G827" s="41">
        <v>1</v>
      </c>
      <c r="H827" s="41">
        <v>10000</v>
      </c>
      <c r="I827" s="41">
        <v>0</v>
      </c>
      <c r="J827" s="41">
        <v>0</v>
      </c>
      <c r="K827" s="41">
        <v>9712</v>
      </c>
      <c r="L827" s="41" t="s">
        <v>2063</v>
      </c>
      <c r="M827" s="43">
        <v>288</v>
      </c>
    </row>
    <row r="828" spans="1:13" x14ac:dyDescent="0.25">
      <c r="A828" s="39" t="s">
        <v>1105</v>
      </c>
      <c r="B828" s="40" t="s">
        <v>12</v>
      </c>
      <c r="C828" s="40" t="s">
        <v>360</v>
      </c>
      <c r="D828" s="40" t="s">
        <v>1991</v>
      </c>
      <c r="E828" s="40" t="s">
        <v>2028</v>
      </c>
      <c r="F828" s="41" t="s">
        <v>1992</v>
      </c>
      <c r="G828" s="41">
        <v>1</v>
      </c>
      <c r="H828" s="41">
        <v>26000</v>
      </c>
      <c r="I828" s="41">
        <v>0</v>
      </c>
      <c r="J828" s="41">
        <v>0</v>
      </c>
      <c r="K828" s="41">
        <v>24811</v>
      </c>
      <c r="L828" s="41" t="s">
        <v>2064</v>
      </c>
      <c r="M828" s="43">
        <v>1189</v>
      </c>
    </row>
    <row r="829" spans="1:13" x14ac:dyDescent="0.25">
      <c r="A829" s="39" t="s">
        <v>1105</v>
      </c>
      <c r="B829" s="40" t="s">
        <v>12</v>
      </c>
      <c r="C829" s="40" t="s">
        <v>360</v>
      </c>
      <c r="D829" s="40" t="s">
        <v>1993</v>
      </c>
      <c r="E829" s="40" t="s">
        <v>2028</v>
      </c>
      <c r="F829" s="41" t="s">
        <v>1994</v>
      </c>
      <c r="G829" s="41">
        <v>1</v>
      </c>
      <c r="H829" s="41">
        <v>49099</v>
      </c>
      <c r="I829" s="41">
        <v>0</v>
      </c>
      <c r="J829" s="41">
        <v>0</v>
      </c>
      <c r="K829" s="41">
        <v>49288</v>
      </c>
      <c r="L829" s="41" t="s">
        <v>2065</v>
      </c>
      <c r="M829" s="43">
        <v>-189</v>
      </c>
    </row>
    <row r="830" spans="1:13" x14ac:dyDescent="0.25">
      <c r="A830" s="39" t="s">
        <v>1105</v>
      </c>
      <c r="B830" s="40" t="s">
        <v>12</v>
      </c>
      <c r="C830" s="40" t="s">
        <v>360</v>
      </c>
      <c r="D830" s="40" t="s">
        <v>1995</v>
      </c>
      <c r="E830" s="40" t="s">
        <v>2028</v>
      </c>
      <c r="F830" s="41" t="s">
        <v>1996</v>
      </c>
      <c r="G830" s="41">
        <v>1</v>
      </c>
      <c r="H830" s="41">
        <v>23000</v>
      </c>
      <c r="I830" s="41">
        <v>0</v>
      </c>
      <c r="J830" s="41">
        <v>0</v>
      </c>
      <c r="K830" s="41">
        <v>22202</v>
      </c>
      <c r="L830" s="41" t="s">
        <v>2066</v>
      </c>
      <c r="M830" s="43">
        <v>798</v>
      </c>
    </row>
    <row r="831" spans="1:13" x14ac:dyDescent="0.25">
      <c r="A831" s="39" t="s">
        <v>1105</v>
      </c>
      <c r="B831" s="40" t="s">
        <v>12</v>
      </c>
      <c r="C831" s="40" t="s">
        <v>360</v>
      </c>
      <c r="D831" s="40" t="s">
        <v>1997</v>
      </c>
      <c r="E831" s="40" t="s">
        <v>2028</v>
      </c>
      <c r="F831" s="41" t="s">
        <v>1125</v>
      </c>
      <c r="G831" s="41">
        <v>1</v>
      </c>
      <c r="H831" s="41">
        <v>42449</v>
      </c>
      <c r="I831" s="41">
        <v>0</v>
      </c>
      <c r="J831" s="41">
        <v>0</v>
      </c>
      <c r="K831" s="41">
        <v>41986</v>
      </c>
      <c r="L831" s="41" t="s">
        <v>2067</v>
      </c>
      <c r="M831" s="43">
        <v>463</v>
      </c>
    </row>
    <row r="832" spans="1:13" x14ac:dyDescent="0.25">
      <c r="A832" s="39" t="s">
        <v>1155</v>
      </c>
      <c r="B832" s="40" t="s">
        <v>12</v>
      </c>
      <c r="C832" s="40" t="s">
        <v>28</v>
      </c>
      <c r="D832" s="40" t="s">
        <v>1998</v>
      </c>
      <c r="E832" s="40" t="s">
        <v>2028</v>
      </c>
      <c r="F832" s="41" t="s">
        <v>234</v>
      </c>
      <c r="G832" s="41">
        <v>1</v>
      </c>
      <c r="H832" s="41">
        <v>31500</v>
      </c>
      <c r="I832" s="41">
        <v>0</v>
      </c>
      <c r="J832" s="41">
        <v>0</v>
      </c>
      <c r="K832" s="41">
        <v>31748</v>
      </c>
      <c r="L832" s="41" t="s">
        <v>2068</v>
      </c>
      <c r="M832" s="43">
        <v>-248</v>
      </c>
    </row>
    <row r="833" spans="1:13" x14ac:dyDescent="0.25">
      <c r="A833" s="39" t="s">
        <v>1155</v>
      </c>
      <c r="B833" s="40" t="s">
        <v>12</v>
      </c>
      <c r="C833" s="40" t="s">
        <v>82</v>
      </c>
      <c r="D833" s="40" t="s">
        <v>1999</v>
      </c>
      <c r="E833" s="40" t="s">
        <v>2028</v>
      </c>
      <c r="F833" s="41" t="s">
        <v>1670</v>
      </c>
      <c r="G833" s="41">
        <v>1</v>
      </c>
      <c r="H833" s="41">
        <v>26560</v>
      </c>
      <c r="I833" s="41">
        <v>0</v>
      </c>
      <c r="J833" s="41">
        <v>0</v>
      </c>
      <c r="K833" s="41">
        <v>25861</v>
      </c>
      <c r="L833" s="41" t="s">
        <v>2069</v>
      </c>
      <c r="M833" s="43">
        <v>699</v>
      </c>
    </row>
    <row r="834" spans="1:13" x14ac:dyDescent="0.25">
      <c r="A834" s="39" t="s">
        <v>1226</v>
      </c>
      <c r="B834" s="40" t="s">
        <v>12</v>
      </c>
      <c r="C834" s="40" t="s">
        <v>28</v>
      </c>
      <c r="D834" s="40" t="s">
        <v>2000</v>
      </c>
      <c r="E834" s="40" t="s">
        <v>2028</v>
      </c>
      <c r="F834" s="41" t="s">
        <v>38</v>
      </c>
      <c r="G834" s="41">
        <v>1</v>
      </c>
      <c r="H834" s="41">
        <v>12499</v>
      </c>
      <c r="I834" s="41">
        <v>0</v>
      </c>
      <c r="J834" s="41">
        <v>0</v>
      </c>
      <c r="K834" s="41">
        <v>12140</v>
      </c>
      <c r="L834" s="41" t="s">
        <v>2070</v>
      </c>
      <c r="M834" s="43">
        <v>359</v>
      </c>
    </row>
    <row r="835" spans="1:13" x14ac:dyDescent="0.25">
      <c r="A835" s="39" t="s">
        <v>1226</v>
      </c>
      <c r="B835" s="40" t="s">
        <v>12</v>
      </c>
      <c r="C835" s="40" t="s">
        <v>114</v>
      </c>
      <c r="D835" s="40" t="s">
        <v>2001</v>
      </c>
      <c r="E835" s="40" t="s">
        <v>2028</v>
      </c>
      <c r="F835" s="41" t="s">
        <v>127</v>
      </c>
      <c r="G835" s="41">
        <v>1</v>
      </c>
      <c r="H835" s="41">
        <v>18000</v>
      </c>
      <c r="I835" s="41">
        <v>0</v>
      </c>
      <c r="J835" s="41">
        <v>0</v>
      </c>
      <c r="K835" s="41">
        <v>17528</v>
      </c>
      <c r="L835" s="41" t="s">
        <v>2071</v>
      </c>
      <c r="M835" s="43">
        <v>472</v>
      </c>
    </row>
    <row r="836" spans="1:13" x14ac:dyDescent="0.25">
      <c r="A836" s="39" t="s">
        <v>1226</v>
      </c>
      <c r="B836" s="40" t="s">
        <v>12</v>
      </c>
      <c r="C836" s="40" t="s">
        <v>114</v>
      </c>
      <c r="D836" s="40" t="s">
        <v>2002</v>
      </c>
      <c r="E836" s="40" t="s">
        <v>2028</v>
      </c>
      <c r="F836" s="41" t="s">
        <v>2003</v>
      </c>
      <c r="G836" s="41">
        <v>1</v>
      </c>
      <c r="H836" s="41">
        <v>37500</v>
      </c>
      <c r="I836" s="41">
        <v>0</v>
      </c>
      <c r="J836" s="41">
        <v>0</v>
      </c>
      <c r="K836" s="41">
        <v>37518</v>
      </c>
      <c r="L836" s="41" t="s">
        <v>2072</v>
      </c>
      <c r="M836" s="43">
        <v>-18</v>
      </c>
    </row>
    <row r="837" spans="1:13" x14ac:dyDescent="0.25">
      <c r="A837" s="39" t="s">
        <v>1308</v>
      </c>
      <c r="B837" s="40" t="s">
        <v>27</v>
      </c>
      <c r="C837" s="40" t="s">
        <v>50</v>
      </c>
      <c r="D837" s="40" t="s">
        <v>2004</v>
      </c>
      <c r="E837" s="40" t="s">
        <v>2028</v>
      </c>
      <c r="F837" s="41" t="s">
        <v>807</v>
      </c>
      <c r="G837" s="41">
        <v>1</v>
      </c>
      <c r="H837" s="41">
        <v>28999</v>
      </c>
      <c r="I837" s="41">
        <v>0</v>
      </c>
      <c r="J837" s="41">
        <v>0</v>
      </c>
      <c r="K837" s="41">
        <v>26449</v>
      </c>
      <c r="L837" s="41" t="s">
        <v>2073</v>
      </c>
      <c r="M837" s="43">
        <v>2550</v>
      </c>
    </row>
    <row r="838" spans="1:13" x14ac:dyDescent="0.25">
      <c r="A838" s="39" t="s">
        <v>1359</v>
      </c>
      <c r="B838" s="40" t="s">
        <v>12</v>
      </c>
      <c r="C838" s="40" t="s">
        <v>60</v>
      </c>
      <c r="D838" s="40" t="s">
        <v>2005</v>
      </c>
      <c r="E838" s="40" t="s">
        <v>2028</v>
      </c>
      <c r="F838" s="41" t="s">
        <v>2006</v>
      </c>
      <c r="G838" s="41">
        <v>1</v>
      </c>
      <c r="H838" s="41">
        <v>21000</v>
      </c>
      <c r="I838" s="41">
        <v>0</v>
      </c>
      <c r="J838" s="41">
        <v>0</v>
      </c>
      <c r="K838" s="41">
        <v>21259</v>
      </c>
      <c r="L838" s="41" t="s">
        <v>2074</v>
      </c>
      <c r="M838" s="43">
        <v>-259</v>
      </c>
    </row>
    <row r="839" spans="1:13" x14ac:dyDescent="0.25">
      <c r="A839" s="39" t="s">
        <v>1426</v>
      </c>
      <c r="B839" s="40" t="s">
        <v>12</v>
      </c>
      <c r="C839" s="40" t="s">
        <v>609</v>
      </c>
      <c r="D839" s="40" t="s">
        <v>2007</v>
      </c>
      <c r="E839" s="40" t="s">
        <v>2028</v>
      </c>
      <c r="F839" s="41" t="s">
        <v>2008</v>
      </c>
      <c r="G839" s="41">
        <v>1</v>
      </c>
      <c r="H839" s="41">
        <v>1400</v>
      </c>
      <c r="I839" s="41">
        <v>0</v>
      </c>
      <c r="J839" s="41">
        <v>0</v>
      </c>
      <c r="K839" s="41">
        <v>982</v>
      </c>
      <c r="L839" s="41" t="s">
        <v>2075</v>
      </c>
      <c r="M839" s="43">
        <v>418</v>
      </c>
    </row>
    <row r="840" spans="1:13" x14ac:dyDescent="0.25">
      <c r="A840" s="39" t="s">
        <v>1426</v>
      </c>
      <c r="B840" s="40" t="s">
        <v>12</v>
      </c>
      <c r="C840" s="40" t="s">
        <v>50</v>
      </c>
      <c r="D840" s="40" t="s">
        <v>2009</v>
      </c>
      <c r="E840" s="40" t="s">
        <v>2028</v>
      </c>
      <c r="F840" s="41" t="s">
        <v>254</v>
      </c>
      <c r="G840" s="41">
        <v>1</v>
      </c>
      <c r="H840" s="41">
        <v>29199</v>
      </c>
      <c r="I840" s="41">
        <v>0</v>
      </c>
      <c r="J840" s="41">
        <v>0</v>
      </c>
      <c r="K840" s="41">
        <v>29186</v>
      </c>
      <c r="L840" s="41" t="s">
        <v>2076</v>
      </c>
      <c r="M840" s="43">
        <v>13</v>
      </c>
    </row>
    <row r="841" spans="1:13" x14ac:dyDescent="0.25">
      <c r="A841" s="39" t="s">
        <v>1426</v>
      </c>
      <c r="B841" s="40" t="s">
        <v>12</v>
      </c>
      <c r="C841" s="40" t="s">
        <v>50</v>
      </c>
      <c r="D841" s="40" t="s">
        <v>2010</v>
      </c>
      <c r="E841" s="40" t="s">
        <v>2028</v>
      </c>
      <c r="F841" s="41" t="s">
        <v>1787</v>
      </c>
      <c r="G841" s="41">
        <v>1</v>
      </c>
      <c r="H841" s="41">
        <v>25500</v>
      </c>
      <c r="I841" s="41">
        <v>0</v>
      </c>
      <c r="J841" s="41">
        <v>0</v>
      </c>
      <c r="K841" s="41">
        <v>24625</v>
      </c>
      <c r="L841" s="41" t="s">
        <v>2077</v>
      </c>
      <c r="M841" s="43">
        <v>875</v>
      </c>
    </row>
    <row r="842" spans="1:13" x14ac:dyDescent="0.25">
      <c r="A842" s="39" t="s">
        <v>1426</v>
      </c>
      <c r="B842" s="40" t="s">
        <v>12</v>
      </c>
      <c r="C842" s="40" t="s">
        <v>50</v>
      </c>
      <c r="D842" s="40" t="s">
        <v>2011</v>
      </c>
      <c r="E842" s="40" t="s">
        <v>2028</v>
      </c>
      <c r="F842" s="41" t="s">
        <v>813</v>
      </c>
      <c r="G842" s="41">
        <v>1</v>
      </c>
      <c r="H842" s="41">
        <v>14000</v>
      </c>
      <c r="I842" s="41">
        <v>0</v>
      </c>
      <c r="J842" s="41">
        <v>0</v>
      </c>
      <c r="K842" s="41">
        <v>14175</v>
      </c>
      <c r="L842" s="41" t="s">
        <v>2078</v>
      </c>
      <c r="M842" s="43">
        <v>-175</v>
      </c>
    </row>
    <row r="843" spans="1:13" x14ac:dyDescent="0.25">
      <c r="A843" s="39" t="s">
        <v>1498</v>
      </c>
      <c r="B843" s="40" t="s">
        <v>12</v>
      </c>
      <c r="C843" s="40" t="s">
        <v>50</v>
      </c>
      <c r="D843" s="40" t="s">
        <v>2012</v>
      </c>
      <c r="E843" s="40" t="s">
        <v>2028</v>
      </c>
      <c r="F843" s="41" t="s">
        <v>254</v>
      </c>
      <c r="G843" s="41">
        <v>1</v>
      </c>
      <c r="H843" s="41">
        <v>29200</v>
      </c>
      <c r="I843" s="41">
        <v>0</v>
      </c>
      <c r="J843" s="41">
        <v>0</v>
      </c>
      <c r="K843" s="41">
        <v>29186</v>
      </c>
      <c r="L843" s="41" t="s">
        <v>2079</v>
      </c>
      <c r="M843" s="43">
        <v>14</v>
      </c>
    </row>
    <row r="844" spans="1:13" x14ac:dyDescent="0.25">
      <c r="A844" s="39" t="s">
        <v>1498</v>
      </c>
      <c r="B844" s="40" t="s">
        <v>12</v>
      </c>
      <c r="C844" s="40" t="s">
        <v>50</v>
      </c>
      <c r="D844" s="40" t="s">
        <v>2013</v>
      </c>
      <c r="E844" s="40" t="s">
        <v>2028</v>
      </c>
      <c r="F844" s="41" t="s">
        <v>254</v>
      </c>
      <c r="G844" s="41">
        <v>1</v>
      </c>
      <c r="H844" s="41">
        <v>29000</v>
      </c>
      <c r="I844" s="41">
        <v>0</v>
      </c>
      <c r="J844" s="41">
        <v>0</v>
      </c>
      <c r="K844" s="41">
        <v>29186</v>
      </c>
      <c r="L844" s="41" t="s">
        <v>2080</v>
      </c>
      <c r="M844" s="43">
        <v>-186</v>
      </c>
    </row>
    <row r="845" spans="1:13" x14ac:dyDescent="0.25">
      <c r="A845" s="39" t="s">
        <v>1498</v>
      </c>
      <c r="B845" s="40" t="s">
        <v>12</v>
      </c>
      <c r="C845" s="40" t="s">
        <v>82</v>
      </c>
      <c r="D845" s="40" t="s">
        <v>2014</v>
      </c>
      <c r="E845" s="40" t="s">
        <v>2028</v>
      </c>
      <c r="F845" s="41" t="s">
        <v>2015</v>
      </c>
      <c r="G845" s="41">
        <v>1</v>
      </c>
      <c r="H845" s="41">
        <v>12500</v>
      </c>
      <c r="I845" s="41">
        <v>0</v>
      </c>
      <c r="J845" s="41">
        <v>0</v>
      </c>
      <c r="K845" s="41">
        <v>12123</v>
      </c>
      <c r="L845" s="41" t="s">
        <v>2081</v>
      </c>
      <c r="M845" s="43">
        <v>377</v>
      </c>
    </row>
    <row r="846" spans="1:13" x14ac:dyDescent="0.25">
      <c r="A846" s="39" t="s">
        <v>1588</v>
      </c>
      <c r="B846" s="40" t="s">
        <v>12</v>
      </c>
      <c r="C846" s="40" t="s">
        <v>60</v>
      </c>
      <c r="D846" s="40" t="s">
        <v>2016</v>
      </c>
      <c r="E846" s="40" t="s">
        <v>2028</v>
      </c>
      <c r="F846" s="41" t="s">
        <v>1964</v>
      </c>
      <c r="G846" s="41">
        <v>1</v>
      </c>
      <c r="H846" s="41">
        <v>42000</v>
      </c>
      <c r="I846" s="41">
        <v>0</v>
      </c>
      <c r="J846" s="41">
        <v>0</v>
      </c>
      <c r="K846" s="41">
        <v>42253</v>
      </c>
      <c r="L846" s="41" t="s">
        <v>2082</v>
      </c>
      <c r="M846" s="43">
        <v>-253</v>
      </c>
    </row>
    <row r="847" spans="1:13" x14ac:dyDescent="0.25">
      <c r="A847" s="39" t="s">
        <v>1588</v>
      </c>
      <c r="B847" s="40" t="s">
        <v>12</v>
      </c>
      <c r="C847" s="40" t="s">
        <v>60</v>
      </c>
      <c r="D847" s="40" t="s">
        <v>2017</v>
      </c>
      <c r="E847" s="40" t="s">
        <v>2028</v>
      </c>
      <c r="F847" s="41" t="s">
        <v>65</v>
      </c>
      <c r="G847" s="41">
        <v>1</v>
      </c>
      <c r="H847" s="41">
        <v>42097</v>
      </c>
      <c r="I847" s="41">
        <v>0</v>
      </c>
      <c r="J847" s="41">
        <v>0</v>
      </c>
      <c r="K847" s="41">
        <v>42253</v>
      </c>
      <c r="L847" s="41" t="s">
        <v>2083</v>
      </c>
      <c r="M847" s="43">
        <v>-156</v>
      </c>
    </row>
    <row r="848" spans="1:13" x14ac:dyDescent="0.25">
      <c r="A848" s="39" t="s">
        <v>1588</v>
      </c>
      <c r="B848" s="40" t="s">
        <v>12</v>
      </c>
      <c r="C848" s="40" t="s">
        <v>60</v>
      </c>
      <c r="D848" s="40" t="s">
        <v>2018</v>
      </c>
      <c r="E848" s="40" t="s">
        <v>2028</v>
      </c>
      <c r="F848" s="41" t="s">
        <v>1382</v>
      </c>
      <c r="G848" s="41">
        <v>1</v>
      </c>
      <c r="H848" s="41">
        <v>41500</v>
      </c>
      <c r="I848" s="41">
        <v>0</v>
      </c>
      <c r="J848" s="41">
        <v>0</v>
      </c>
      <c r="K848" s="41">
        <v>42253</v>
      </c>
      <c r="L848" s="41" t="s">
        <v>2084</v>
      </c>
      <c r="M848" s="43">
        <v>-753</v>
      </c>
    </row>
    <row r="849" spans="1:13" x14ac:dyDescent="0.25">
      <c r="A849" s="39" t="s">
        <v>1588</v>
      </c>
      <c r="B849" s="40" t="s">
        <v>12</v>
      </c>
      <c r="C849" s="40" t="s">
        <v>60</v>
      </c>
      <c r="D849" s="40" t="s">
        <v>2019</v>
      </c>
      <c r="E849" s="40" t="s">
        <v>2028</v>
      </c>
      <c r="F849" s="41" t="s">
        <v>77</v>
      </c>
      <c r="G849" s="41">
        <v>1</v>
      </c>
      <c r="H849" s="41">
        <v>41999</v>
      </c>
      <c r="I849" s="41">
        <v>0</v>
      </c>
      <c r="J849" s="41">
        <v>0</v>
      </c>
      <c r="K849" s="41">
        <v>41355</v>
      </c>
      <c r="L849" s="41" t="s">
        <v>2085</v>
      </c>
      <c r="M849" s="43">
        <v>644</v>
      </c>
    </row>
    <row r="850" spans="1:13" x14ac:dyDescent="0.25">
      <c r="A850" s="39" t="s">
        <v>1672</v>
      </c>
      <c r="B850" s="40" t="s">
        <v>12</v>
      </c>
      <c r="C850" s="40" t="s">
        <v>609</v>
      </c>
      <c r="D850" s="40" t="s">
        <v>2020</v>
      </c>
      <c r="E850" s="40" t="s">
        <v>2028</v>
      </c>
      <c r="F850" s="41" t="s">
        <v>2021</v>
      </c>
      <c r="G850" s="41">
        <v>1</v>
      </c>
      <c r="H850" s="41">
        <v>1100</v>
      </c>
      <c r="I850" s="41">
        <v>0</v>
      </c>
      <c r="J850" s="41">
        <v>0</v>
      </c>
      <c r="K850" s="41">
        <v>859</v>
      </c>
      <c r="L850" s="41" t="s">
        <v>2086</v>
      </c>
      <c r="M850" s="43">
        <v>241</v>
      </c>
    </row>
    <row r="851" spans="1:13" x14ac:dyDescent="0.25">
      <c r="A851" s="39" t="s">
        <v>1672</v>
      </c>
      <c r="B851" s="40" t="s">
        <v>12</v>
      </c>
      <c r="C851" s="40" t="s">
        <v>60</v>
      </c>
      <c r="D851" s="40" t="s">
        <v>2022</v>
      </c>
      <c r="E851" s="40" t="s">
        <v>2028</v>
      </c>
      <c r="F851" s="41" t="s">
        <v>65</v>
      </c>
      <c r="G851" s="41">
        <v>1</v>
      </c>
      <c r="H851" s="41">
        <v>45000</v>
      </c>
      <c r="I851" s="41">
        <v>0</v>
      </c>
      <c r="J851" s="41">
        <v>0</v>
      </c>
      <c r="K851" s="41">
        <v>42253</v>
      </c>
      <c r="L851" s="41" t="s">
        <v>2087</v>
      </c>
      <c r="M851" s="43">
        <v>2747</v>
      </c>
    </row>
    <row r="852" spans="1:13" x14ac:dyDescent="0.25">
      <c r="A852" s="39" t="s">
        <v>1672</v>
      </c>
      <c r="B852" s="40" t="s">
        <v>12</v>
      </c>
      <c r="C852" s="40" t="s">
        <v>60</v>
      </c>
      <c r="D852" s="40" t="s">
        <v>2023</v>
      </c>
      <c r="E852" s="40" t="s">
        <v>2028</v>
      </c>
      <c r="F852" s="41" t="s">
        <v>856</v>
      </c>
      <c r="G852" s="41">
        <v>1</v>
      </c>
      <c r="H852" s="41">
        <v>19400</v>
      </c>
      <c r="I852" s="41">
        <v>0</v>
      </c>
      <c r="J852" s="41">
        <v>0</v>
      </c>
      <c r="K852" s="41">
        <v>19370</v>
      </c>
      <c r="L852" s="41" t="s">
        <v>2088</v>
      </c>
      <c r="M852" s="43">
        <v>30</v>
      </c>
    </row>
    <row r="853" spans="1:13" x14ac:dyDescent="0.25">
      <c r="A853" s="39" t="s">
        <v>1672</v>
      </c>
      <c r="B853" s="40" t="s">
        <v>12</v>
      </c>
      <c r="C853" s="40" t="s">
        <v>60</v>
      </c>
      <c r="D853" s="40" t="s">
        <v>2024</v>
      </c>
      <c r="E853" s="40" t="s">
        <v>2028</v>
      </c>
      <c r="F853" s="41" t="s">
        <v>304</v>
      </c>
      <c r="G853" s="41">
        <v>1</v>
      </c>
      <c r="H853" s="41">
        <v>14500</v>
      </c>
      <c r="I853" s="41">
        <v>0</v>
      </c>
      <c r="J853" s="41">
        <v>0</v>
      </c>
      <c r="K853" s="41">
        <v>14010</v>
      </c>
      <c r="L853" s="41" t="s">
        <v>2089</v>
      </c>
      <c r="M853" s="43">
        <v>490</v>
      </c>
    </row>
    <row r="854" spans="1:13" x14ac:dyDescent="0.25">
      <c r="A854" s="39" t="s">
        <v>1764</v>
      </c>
      <c r="B854" s="40" t="s">
        <v>12</v>
      </c>
      <c r="C854" s="40" t="s">
        <v>87</v>
      </c>
      <c r="D854" s="40" t="s">
        <v>2025</v>
      </c>
      <c r="E854" s="40" t="s">
        <v>2028</v>
      </c>
      <c r="F854" s="41" t="s">
        <v>1107</v>
      </c>
      <c r="G854" s="41">
        <v>1</v>
      </c>
      <c r="H854" s="41">
        <v>148400</v>
      </c>
      <c r="I854" s="41">
        <v>0</v>
      </c>
      <c r="J854" s="41">
        <v>0</v>
      </c>
      <c r="K854" s="41">
        <v>145373</v>
      </c>
      <c r="L854" s="41" t="s">
        <v>2090</v>
      </c>
      <c r="M854" s="43">
        <v>3027</v>
      </c>
    </row>
    <row r="855" spans="1:13" x14ac:dyDescent="0.25">
      <c r="A855" s="39" t="s">
        <v>1764</v>
      </c>
      <c r="B855" s="40" t="s">
        <v>12</v>
      </c>
      <c r="C855" s="40" t="s">
        <v>60</v>
      </c>
      <c r="D855" s="40" t="s">
        <v>2026</v>
      </c>
      <c r="E855" s="40" t="s">
        <v>2028</v>
      </c>
      <c r="F855" s="41" t="s">
        <v>696</v>
      </c>
      <c r="G855" s="41">
        <v>1</v>
      </c>
      <c r="H855" s="41">
        <v>17000</v>
      </c>
      <c r="I855" s="41">
        <v>0</v>
      </c>
      <c r="J855" s="41">
        <v>0</v>
      </c>
      <c r="K855" s="41">
        <v>17482</v>
      </c>
      <c r="L855" s="41" t="s">
        <v>2091</v>
      </c>
      <c r="M855" s="43">
        <v>-482</v>
      </c>
    </row>
    <row r="856" spans="1:13" x14ac:dyDescent="0.25">
      <c r="A856" s="38" t="s">
        <v>1764</v>
      </c>
      <c r="B856" s="44" t="s">
        <v>27</v>
      </c>
      <c r="C856" s="44" t="s">
        <v>50</v>
      </c>
      <c r="D856" s="44" t="s">
        <v>2027</v>
      </c>
      <c r="E856" s="44" t="s">
        <v>2028</v>
      </c>
      <c r="F856" s="45" t="s">
        <v>991</v>
      </c>
      <c r="G856" s="45">
        <v>1</v>
      </c>
      <c r="H856" s="45">
        <v>30500</v>
      </c>
      <c r="I856" s="45">
        <v>0</v>
      </c>
      <c r="J856" s="45">
        <v>0</v>
      </c>
      <c r="K856" s="45">
        <v>31010</v>
      </c>
      <c r="L856" s="45" t="s">
        <v>2092</v>
      </c>
      <c r="M856" s="46">
        <v>-510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2026-04-14T05:50:55Z</dcterms:modified>
</cp:coreProperties>
</file>